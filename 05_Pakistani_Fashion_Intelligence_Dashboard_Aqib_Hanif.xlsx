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Insights_Account\Pakistani-Fashion-Intelligence\"/>
    </mc:Choice>
  </mc:AlternateContent>
  <xr:revisionPtr revIDLastSave="0" documentId="13_ncr:1_{DB086307-C1C3-4043-8F80-30181CF70C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shboard" sheetId="1" r:id="rId1"/>
    <sheet name="Dashboard_Calcs" sheetId="2" r:id="rId2"/>
    <sheet name="Processed_Data" sheetId="3" r:id="rId3"/>
    <sheet name="Raw_Data" sheetId="4" r:id="rId4"/>
    <sheet name="Weather_API" sheetId="5" r:id="rId5"/>
    <sheet name="Seasonal_Context" sheetId="6" r:id="rId6"/>
    <sheet name="SQL_Summary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5" i="2"/>
  <c r="B4" i="2"/>
  <c r="M3" i="2"/>
  <c r="B3" i="2"/>
  <c r="B2" i="2"/>
  <c r="C48" i="1"/>
  <c r="A48" i="1"/>
  <c r="C44" i="1"/>
  <c r="A44" i="1"/>
  <c r="C40" i="1"/>
  <c r="A40" i="1"/>
  <c r="A38" i="1"/>
  <c r="A34" i="1"/>
  <c r="E4" i="1"/>
  <c r="AB282" i="2" l="1"/>
  <c r="AB281" i="2"/>
  <c r="AB280" i="2"/>
  <c r="AB279" i="2"/>
  <c r="AB278" i="2"/>
  <c r="AB277" i="2"/>
  <c r="AB276" i="2"/>
  <c r="AB275" i="2"/>
  <c r="AB274" i="2"/>
  <c r="AB273" i="2"/>
  <c r="AB272" i="2"/>
  <c r="AB271" i="2"/>
  <c r="AB270" i="2"/>
  <c r="AB269" i="2"/>
  <c r="AB268" i="2"/>
  <c r="AB267" i="2"/>
  <c r="AB266" i="2"/>
  <c r="AB265" i="2"/>
  <c r="AB264" i="2"/>
  <c r="AB263" i="2"/>
  <c r="AB262" i="2"/>
  <c r="AB229" i="2"/>
  <c r="AB228" i="2"/>
  <c r="AB227" i="2"/>
  <c r="AB226" i="2"/>
  <c r="AB225" i="2"/>
  <c r="AB224" i="2"/>
  <c r="AB223" i="2"/>
  <c r="AB222" i="2"/>
  <c r="AB221" i="2"/>
  <c r="AB220" i="2"/>
  <c r="AB219" i="2"/>
  <c r="AB215" i="2"/>
  <c r="AB214" i="2"/>
  <c r="AB213" i="2"/>
  <c r="AB212" i="2"/>
  <c r="AB211" i="2"/>
  <c r="AB210" i="2"/>
  <c r="AB209" i="2"/>
  <c r="AB208" i="2"/>
  <c r="AB207" i="2"/>
  <c r="AB206" i="2"/>
  <c r="AB205" i="2"/>
  <c r="AB204" i="2"/>
  <c r="AB203" i="2"/>
  <c r="AB202" i="2"/>
  <c r="AB201" i="2"/>
  <c r="AB200" i="2"/>
  <c r="AB199" i="2"/>
  <c r="AB198" i="2"/>
  <c r="AB197" i="2"/>
  <c r="AB196" i="2"/>
  <c r="AB195" i="2"/>
  <c r="AB194" i="2"/>
  <c r="AB193" i="2"/>
  <c r="AB192" i="2"/>
  <c r="AB191" i="2"/>
  <c r="AB190" i="2"/>
  <c r="AB189" i="2"/>
  <c r="AB188" i="2"/>
  <c r="AB187" i="2"/>
  <c r="AB186" i="2"/>
  <c r="AB185" i="2"/>
  <c r="AB184" i="2"/>
  <c r="AB183" i="2"/>
  <c r="AB182" i="2"/>
  <c r="AB181" i="2"/>
  <c r="AB180" i="2"/>
  <c r="AB179" i="2"/>
  <c r="AB178" i="2"/>
  <c r="AB177" i="2"/>
  <c r="AB176" i="2"/>
  <c r="AB175" i="2"/>
  <c r="AB174" i="2"/>
  <c r="AB173" i="2"/>
  <c r="AB172" i="2"/>
  <c r="AB171" i="2"/>
  <c r="AB170" i="2"/>
  <c r="AB169" i="2"/>
  <c r="AB168" i="2"/>
  <c r="AB167" i="2"/>
  <c r="AB166" i="2"/>
  <c r="AB165" i="2"/>
  <c r="AB164" i="2"/>
  <c r="AB163" i="2"/>
  <c r="AB162" i="2"/>
  <c r="AB161" i="2"/>
  <c r="AB160" i="2"/>
  <c r="AB159" i="2"/>
  <c r="AB158" i="2"/>
  <c r="AB157" i="2"/>
  <c r="AB156" i="2"/>
  <c r="AB155" i="2"/>
  <c r="AB261" i="2"/>
  <c r="AB259" i="2"/>
  <c r="AB257" i="2"/>
  <c r="AB255" i="2"/>
  <c r="AB253" i="2"/>
  <c r="AB251" i="2"/>
  <c r="AB249" i="2"/>
  <c r="AB247" i="2"/>
  <c r="AB245" i="2"/>
  <c r="AB243" i="2"/>
  <c r="AB241" i="2"/>
  <c r="AB239" i="2"/>
  <c r="AB237" i="2"/>
  <c r="AB235" i="2"/>
  <c r="AB233" i="2"/>
  <c r="AB231" i="2"/>
  <c r="AB218" i="2"/>
  <c r="AB217" i="2"/>
  <c r="AB216" i="2"/>
  <c r="AB154" i="2"/>
  <c r="AB153" i="2"/>
  <c r="AB152" i="2"/>
  <c r="AB151" i="2"/>
  <c r="AB150" i="2"/>
  <c r="AB149" i="2"/>
  <c r="AB148" i="2"/>
  <c r="AB147" i="2"/>
  <c r="AB146" i="2"/>
  <c r="AB145" i="2"/>
  <c r="AB144" i="2"/>
  <c r="AB143" i="2"/>
  <c r="AB142" i="2"/>
  <c r="AB141" i="2"/>
  <c r="AB140" i="2"/>
  <c r="AB139" i="2"/>
  <c r="AB138" i="2"/>
  <c r="AB137" i="2"/>
  <c r="AB136" i="2"/>
  <c r="AB135" i="2"/>
  <c r="AB134" i="2"/>
  <c r="AB133" i="2"/>
  <c r="AB132" i="2"/>
  <c r="AB131" i="2"/>
  <c r="AB130" i="2"/>
  <c r="AB129" i="2"/>
  <c r="AB128" i="2"/>
  <c r="AB127" i="2"/>
  <c r="AB126" i="2"/>
  <c r="AB125" i="2"/>
  <c r="AB124" i="2"/>
  <c r="AB123" i="2"/>
  <c r="AB122" i="2"/>
  <c r="AB121" i="2"/>
  <c r="AB120" i="2"/>
  <c r="AB119" i="2"/>
  <c r="AB118" i="2"/>
  <c r="AB117" i="2"/>
  <c r="AB116" i="2"/>
  <c r="AB115" i="2"/>
  <c r="AB114" i="2"/>
  <c r="AB113" i="2"/>
  <c r="AB112" i="2"/>
  <c r="AB111" i="2"/>
  <c r="AB110" i="2"/>
  <c r="AB258" i="2"/>
  <c r="AB254" i="2"/>
  <c r="AB250" i="2"/>
  <c r="AB246" i="2"/>
  <c r="AB242" i="2"/>
  <c r="AB238" i="2"/>
  <c r="AB234" i="2"/>
  <c r="AB230" i="2"/>
  <c r="AB7" i="2"/>
  <c r="P5" i="2"/>
  <c r="S4" i="2"/>
  <c r="M4" i="2"/>
  <c r="AB3" i="2"/>
  <c r="R3" i="2"/>
  <c r="K3" i="2"/>
  <c r="AB260" i="2"/>
  <c r="AB252" i="2"/>
  <c r="AB244" i="2"/>
  <c r="AB236" i="2"/>
  <c r="S5" i="2"/>
  <c r="AB4" i="2"/>
  <c r="R4" i="2"/>
  <c r="K4" i="2"/>
  <c r="Q3" i="2"/>
  <c r="Q5" i="2"/>
  <c r="M5" i="2"/>
  <c r="AB5" i="2"/>
  <c r="AB232" i="2"/>
  <c r="S3" i="2"/>
  <c r="P4" i="2"/>
  <c r="M7" i="2"/>
  <c r="AB8" i="2"/>
  <c r="AB256" i="2"/>
  <c r="M6" i="2"/>
  <c r="AB240" i="2"/>
  <c r="P3" i="2"/>
  <c r="R5" i="2"/>
  <c r="AB2" i="2"/>
  <c r="Q4" i="2"/>
  <c r="K5" i="2"/>
  <c r="AB6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248" i="2"/>
  <c r="E7" i="2" l="1"/>
  <c r="Y7" i="1" s="1"/>
  <c r="AH109" i="2"/>
  <c r="AD109" i="2"/>
  <c r="Y109" i="2"/>
  <c r="U109" i="2"/>
  <c r="AK109" i="2"/>
  <c r="AG109" i="2"/>
  <c r="AC109" i="2"/>
  <c r="X109" i="2"/>
  <c r="AJ109" i="2"/>
  <c r="V109" i="2"/>
  <c r="AI109" i="2"/>
  <c r="Z109" i="2"/>
  <c r="AF109" i="2"/>
  <c r="W109" i="2"/>
  <c r="AE109" i="2"/>
  <c r="AH101" i="2"/>
  <c r="AD101" i="2"/>
  <c r="Y101" i="2"/>
  <c r="U101" i="2"/>
  <c r="AK101" i="2"/>
  <c r="AG101" i="2"/>
  <c r="AC101" i="2"/>
  <c r="X101" i="2"/>
  <c r="AJ101" i="2"/>
  <c r="AF101" i="2"/>
  <c r="V101" i="2"/>
  <c r="AI101" i="2"/>
  <c r="Z101" i="2"/>
  <c r="W101" i="2"/>
  <c r="AE101" i="2"/>
  <c r="AH93" i="2"/>
  <c r="AD93" i="2"/>
  <c r="Y93" i="2"/>
  <c r="U93" i="2"/>
  <c r="AK93" i="2"/>
  <c r="AG93" i="2"/>
  <c r="AC93" i="2"/>
  <c r="X93" i="2"/>
  <c r="AJ93" i="2"/>
  <c r="W93" i="2"/>
  <c r="V93" i="2"/>
  <c r="AI93" i="2"/>
  <c r="Z93" i="2"/>
  <c r="AF93" i="2"/>
  <c r="AE93" i="2"/>
  <c r="AH85" i="2"/>
  <c r="AD85" i="2"/>
  <c r="Y85" i="2"/>
  <c r="U85" i="2"/>
  <c r="AK85" i="2"/>
  <c r="AG85" i="2"/>
  <c r="AC85" i="2"/>
  <c r="X85" i="2"/>
  <c r="AJ85" i="2"/>
  <c r="AF85" i="2"/>
  <c r="AE85" i="2"/>
  <c r="V85" i="2"/>
  <c r="AI85" i="2"/>
  <c r="Z85" i="2"/>
  <c r="W85" i="2"/>
  <c r="AH77" i="2"/>
  <c r="AD77" i="2"/>
  <c r="Y77" i="2"/>
  <c r="U77" i="2"/>
  <c r="AK77" i="2"/>
  <c r="AG77" i="2"/>
  <c r="AC77" i="2"/>
  <c r="X77" i="2"/>
  <c r="AJ77" i="2"/>
  <c r="AF77" i="2"/>
  <c r="AE77" i="2"/>
  <c r="AI77" i="2"/>
  <c r="Z77" i="2"/>
  <c r="W77" i="2"/>
  <c r="V77" i="2"/>
  <c r="AH69" i="2"/>
  <c r="AD69" i="2"/>
  <c r="Y69" i="2"/>
  <c r="U69" i="2"/>
  <c r="AK69" i="2"/>
  <c r="AG69" i="2"/>
  <c r="AC69" i="2"/>
  <c r="X69" i="2"/>
  <c r="AJ69" i="2"/>
  <c r="AF69" i="2"/>
  <c r="V69" i="2"/>
  <c r="AI69" i="2"/>
  <c r="Z69" i="2"/>
  <c r="W69" i="2"/>
  <c r="AE69" i="2"/>
  <c r="AH61" i="2"/>
  <c r="AD61" i="2"/>
  <c r="Y61" i="2"/>
  <c r="U61" i="2"/>
  <c r="AK61" i="2"/>
  <c r="AG61" i="2"/>
  <c r="AC61" i="2"/>
  <c r="X61" i="2"/>
  <c r="AJ61" i="2"/>
  <c r="AF61" i="2"/>
  <c r="V61" i="2"/>
  <c r="AI61" i="2"/>
  <c r="Z61" i="2"/>
  <c r="W61" i="2"/>
  <c r="AE61" i="2"/>
  <c r="AH53" i="2"/>
  <c r="AD53" i="2"/>
  <c r="Y53" i="2"/>
  <c r="U53" i="2"/>
  <c r="AK53" i="2"/>
  <c r="AG53" i="2"/>
  <c r="AC53" i="2"/>
  <c r="X53" i="2"/>
  <c r="AJ53" i="2"/>
  <c r="W53" i="2"/>
  <c r="AE53" i="2"/>
  <c r="AI53" i="2"/>
  <c r="Z53" i="2"/>
  <c r="AF53" i="2"/>
  <c r="V53" i="2"/>
  <c r="AH45" i="2"/>
  <c r="AD45" i="2"/>
  <c r="Y45" i="2"/>
  <c r="U45" i="2"/>
  <c r="AK45" i="2"/>
  <c r="AG45" i="2"/>
  <c r="AC45" i="2"/>
  <c r="X45" i="2"/>
  <c r="AJ45" i="2"/>
  <c r="AF45" i="2"/>
  <c r="W45" i="2"/>
  <c r="V45" i="2"/>
  <c r="AI45" i="2"/>
  <c r="Z45" i="2"/>
  <c r="AE45" i="2"/>
  <c r="AH37" i="2"/>
  <c r="AD37" i="2"/>
  <c r="Y37" i="2"/>
  <c r="U37" i="2"/>
  <c r="AK37" i="2"/>
  <c r="AG37" i="2"/>
  <c r="AC37" i="2"/>
  <c r="X37" i="2"/>
  <c r="AJ37" i="2"/>
  <c r="W37" i="2"/>
  <c r="AE37" i="2"/>
  <c r="AI37" i="2"/>
  <c r="Z37" i="2"/>
  <c r="AF37" i="2"/>
  <c r="V37" i="2"/>
  <c r="AH29" i="2"/>
  <c r="AD29" i="2"/>
  <c r="Y29" i="2"/>
  <c r="U29" i="2"/>
  <c r="AK29" i="2"/>
  <c r="AG29" i="2"/>
  <c r="AC29" i="2"/>
  <c r="X29" i="2"/>
  <c r="AJ29" i="2"/>
  <c r="W29" i="2"/>
  <c r="V29" i="2"/>
  <c r="AI29" i="2"/>
  <c r="Z29" i="2"/>
  <c r="AF29" i="2"/>
  <c r="AE29" i="2"/>
  <c r="AH21" i="2"/>
  <c r="AD21" i="2"/>
  <c r="Y21" i="2"/>
  <c r="U21" i="2"/>
  <c r="AK21" i="2"/>
  <c r="AG21" i="2"/>
  <c r="AC21" i="2"/>
  <c r="X21" i="2"/>
  <c r="AJ21" i="2"/>
  <c r="AF21" i="2"/>
  <c r="W21" i="2"/>
  <c r="AE21" i="2"/>
  <c r="AI21" i="2"/>
  <c r="Z21" i="2"/>
  <c r="V21" i="2"/>
  <c r="AI236" i="2"/>
  <c r="AE236" i="2"/>
  <c r="Z236" i="2"/>
  <c r="V236" i="2"/>
  <c r="AK236" i="2"/>
  <c r="AF236" i="2"/>
  <c r="Y236" i="2"/>
  <c r="AJ236" i="2"/>
  <c r="AD236" i="2"/>
  <c r="X236" i="2"/>
  <c r="AH236" i="2"/>
  <c r="W236" i="2"/>
  <c r="AG236" i="2"/>
  <c r="U236" i="2"/>
  <c r="AC236" i="2"/>
  <c r="AI234" i="2"/>
  <c r="AE234" i="2"/>
  <c r="Z234" i="2"/>
  <c r="V234" i="2"/>
  <c r="AK234" i="2"/>
  <c r="AF234" i="2"/>
  <c r="Y234" i="2"/>
  <c r="AJ234" i="2"/>
  <c r="AD234" i="2"/>
  <c r="X234" i="2"/>
  <c r="AH234" i="2"/>
  <c r="W234" i="2"/>
  <c r="AG234" i="2"/>
  <c r="U234" i="2"/>
  <c r="AC234" i="2"/>
  <c r="AJ111" i="2"/>
  <c r="AF111" i="2"/>
  <c r="W111" i="2"/>
  <c r="AG111" i="2"/>
  <c r="Z111" i="2"/>
  <c r="U111" i="2"/>
  <c r="AK111" i="2"/>
  <c r="AE111" i="2"/>
  <c r="Y111" i="2"/>
  <c r="AI111" i="2"/>
  <c r="X111" i="2"/>
  <c r="AC111" i="2"/>
  <c r="AH111" i="2"/>
  <c r="V111" i="2"/>
  <c r="AD111" i="2"/>
  <c r="AJ119" i="2"/>
  <c r="AF119" i="2"/>
  <c r="W119" i="2"/>
  <c r="AI119" i="2"/>
  <c r="AE119" i="2"/>
  <c r="Z119" i="2"/>
  <c r="V119" i="2"/>
  <c r="AD119" i="2"/>
  <c r="U119" i="2"/>
  <c r="AK119" i="2"/>
  <c r="AC119" i="2"/>
  <c r="AH119" i="2"/>
  <c r="X119" i="2"/>
  <c r="AG119" i="2"/>
  <c r="Y119" i="2"/>
  <c r="AJ127" i="2"/>
  <c r="AF127" i="2"/>
  <c r="W127" i="2"/>
  <c r="AI127" i="2"/>
  <c r="AE127" i="2"/>
  <c r="Z127" i="2"/>
  <c r="V127" i="2"/>
  <c r="AD127" i="2"/>
  <c r="U127" i="2"/>
  <c r="AK127" i="2"/>
  <c r="AC127" i="2"/>
  <c r="AH127" i="2"/>
  <c r="X127" i="2"/>
  <c r="AG127" i="2"/>
  <c r="Y127" i="2"/>
  <c r="AJ164" i="2"/>
  <c r="AF164" i="2"/>
  <c r="W164" i="2"/>
  <c r="AI164" i="2"/>
  <c r="AE164" i="2"/>
  <c r="Z164" i="2"/>
  <c r="V164" i="2"/>
  <c r="AD164" i="2"/>
  <c r="U164" i="2"/>
  <c r="AK164" i="2"/>
  <c r="AC164" i="2"/>
  <c r="Y164" i="2"/>
  <c r="X164" i="2"/>
  <c r="AH164" i="2"/>
  <c r="AG164" i="2"/>
  <c r="AJ168" i="2"/>
  <c r="AF168" i="2"/>
  <c r="W168" i="2"/>
  <c r="AI168" i="2"/>
  <c r="AE168" i="2"/>
  <c r="Z168" i="2"/>
  <c r="V168" i="2"/>
  <c r="AD168" i="2"/>
  <c r="U168" i="2"/>
  <c r="AK168" i="2"/>
  <c r="AC168" i="2"/>
  <c r="Y168" i="2"/>
  <c r="X168" i="2"/>
  <c r="AH168" i="2"/>
  <c r="AG168" i="2"/>
  <c r="AJ172" i="2"/>
  <c r="AF172" i="2"/>
  <c r="W172" i="2"/>
  <c r="AI172" i="2"/>
  <c r="AE172" i="2"/>
  <c r="Z172" i="2"/>
  <c r="V172" i="2"/>
  <c r="AD172" i="2"/>
  <c r="U172" i="2"/>
  <c r="AK172" i="2"/>
  <c r="AC172" i="2"/>
  <c r="Y172" i="2"/>
  <c r="X172" i="2"/>
  <c r="AH172" i="2"/>
  <c r="AG172" i="2"/>
  <c r="AJ176" i="2"/>
  <c r="AF176" i="2"/>
  <c r="W176" i="2"/>
  <c r="AI176" i="2"/>
  <c r="AE176" i="2"/>
  <c r="Z176" i="2"/>
  <c r="V176" i="2"/>
  <c r="AD176" i="2"/>
  <c r="U176" i="2"/>
  <c r="AK176" i="2"/>
  <c r="AC176" i="2"/>
  <c r="Y176" i="2"/>
  <c r="X176" i="2"/>
  <c r="AH176" i="2"/>
  <c r="AG176" i="2"/>
  <c r="AJ180" i="2"/>
  <c r="AF180" i="2"/>
  <c r="W180" i="2"/>
  <c r="AI180" i="2"/>
  <c r="AE180" i="2"/>
  <c r="Z180" i="2"/>
  <c r="V180" i="2"/>
  <c r="AD180" i="2"/>
  <c r="U180" i="2"/>
  <c r="AK180" i="2"/>
  <c r="AC180" i="2"/>
  <c r="Y180" i="2"/>
  <c r="X180" i="2"/>
  <c r="AH180" i="2"/>
  <c r="AG180" i="2"/>
  <c r="AJ184" i="2"/>
  <c r="AF184" i="2"/>
  <c r="W184" i="2"/>
  <c r="AI184" i="2"/>
  <c r="AE184" i="2"/>
  <c r="Z184" i="2"/>
  <c r="V184" i="2"/>
  <c r="AD184" i="2"/>
  <c r="U184" i="2"/>
  <c r="AK184" i="2"/>
  <c r="AC184" i="2"/>
  <c r="Y184" i="2"/>
  <c r="X184" i="2"/>
  <c r="AH184" i="2"/>
  <c r="AG184" i="2"/>
  <c r="AJ188" i="2"/>
  <c r="AF188" i="2"/>
  <c r="W188" i="2"/>
  <c r="AI188" i="2"/>
  <c r="AE188" i="2"/>
  <c r="Z188" i="2"/>
  <c r="V188" i="2"/>
  <c r="AD188" i="2"/>
  <c r="U188" i="2"/>
  <c r="AK188" i="2"/>
  <c r="AC188" i="2"/>
  <c r="Y188" i="2"/>
  <c r="X188" i="2"/>
  <c r="AH188" i="2"/>
  <c r="AG188" i="2"/>
  <c r="AJ192" i="2"/>
  <c r="AF192" i="2"/>
  <c r="W192" i="2"/>
  <c r="AI192" i="2"/>
  <c r="AE192" i="2"/>
  <c r="Z192" i="2"/>
  <c r="V192" i="2"/>
  <c r="AD192" i="2"/>
  <c r="U192" i="2"/>
  <c r="AK192" i="2"/>
  <c r="AC192" i="2"/>
  <c r="Y192" i="2"/>
  <c r="X192" i="2"/>
  <c r="AH192" i="2"/>
  <c r="AG192" i="2"/>
  <c r="AJ196" i="2"/>
  <c r="AF196" i="2"/>
  <c r="W196" i="2"/>
  <c r="AI196" i="2"/>
  <c r="AE196" i="2"/>
  <c r="Z196" i="2"/>
  <c r="V196" i="2"/>
  <c r="AD196" i="2"/>
  <c r="U196" i="2"/>
  <c r="AK196" i="2"/>
  <c r="AC196" i="2"/>
  <c r="Y196" i="2"/>
  <c r="X196" i="2"/>
  <c r="AH196" i="2"/>
  <c r="AG196" i="2"/>
  <c r="AJ200" i="2"/>
  <c r="AF200" i="2"/>
  <c r="W200" i="2"/>
  <c r="AI200" i="2"/>
  <c r="AE200" i="2"/>
  <c r="Z200" i="2"/>
  <c r="V200" i="2"/>
  <c r="AD200" i="2"/>
  <c r="U200" i="2"/>
  <c r="AK200" i="2"/>
  <c r="AC200" i="2"/>
  <c r="Y200" i="2"/>
  <c r="X200" i="2"/>
  <c r="AH200" i="2"/>
  <c r="AG200" i="2"/>
  <c r="AJ204" i="2"/>
  <c r="AF204" i="2"/>
  <c r="W204" i="2"/>
  <c r="AI204" i="2"/>
  <c r="AE204" i="2"/>
  <c r="Z204" i="2"/>
  <c r="V204" i="2"/>
  <c r="AD204" i="2"/>
  <c r="U204" i="2"/>
  <c r="AK204" i="2"/>
  <c r="AC204" i="2"/>
  <c r="Y204" i="2"/>
  <c r="X204" i="2"/>
  <c r="AH204" i="2"/>
  <c r="AG204" i="2"/>
  <c r="AJ212" i="2"/>
  <c r="AF212" i="2"/>
  <c r="W212" i="2"/>
  <c r="AI212" i="2"/>
  <c r="AE212" i="2"/>
  <c r="Z212" i="2"/>
  <c r="V212" i="2"/>
  <c r="AD212" i="2"/>
  <c r="U212" i="2"/>
  <c r="AK212" i="2"/>
  <c r="AC212" i="2"/>
  <c r="Y212" i="2"/>
  <c r="X212" i="2"/>
  <c r="AH212" i="2"/>
  <c r="AG212" i="2"/>
  <c r="AK223" i="2"/>
  <c r="AG223" i="2"/>
  <c r="AC223" i="2"/>
  <c r="X223" i="2"/>
  <c r="AJ223" i="2"/>
  <c r="AF223" i="2"/>
  <c r="W223" i="2"/>
  <c r="AE223" i="2"/>
  <c r="V223" i="2"/>
  <c r="AD223" i="2"/>
  <c r="U223" i="2"/>
  <c r="Z223" i="2"/>
  <c r="Y223" i="2"/>
  <c r="AI223" i="2"/>
  <c r="AH223" i="2"/>
  <c r="AK263" i="2"/>
  <c r="AG263" i="2"/>
  <c r="AC263" i="2"/>
  <c r="X263" i="2"/>
  <c r="AJ263" i="2"/>
  <c r="AF263" i="2"/>
  <c r="W263" i="2"/>
  <c r="AI263" i="2"/>
  <c r="Z263" i="2"/>
  <c r="AD263" i="2"/>
  <c r="Y263" i="2"/>
  <c r="AH263" i="2"/>
  <c r="AE263" i="2"/>
  <c r="V263" i="2"/>
  <c r="U263" i="2"/>
  <c r="AK267" i="2"/>
  <c r="AG267" i="2"/>
  <c r="AC267" i="2"/>
  <c r="X267" i="2"/>
  <c r="AJ267" i="2"/>
  <c r="AF267" i="2"/>
  <c r="W267" i="2"/>
  <c r="AI267" i="2"/>
  <c r="Z267" i="2"/>
  <c r="AD267" i="2"/>
  <c r="Y267" i="2"/>
  <c r="AH267" i="2"/>
  <c r="AE267" i="2"/>
  <c r="V267" i="2"/>
  <c r="U267" i="2"/>
  <c r="AK279" i="2"/>
  <c r="AG279" i="2"/>
  <c r="AC279" i="2"/>
  <c r="X279" i="2"/>
  <c r="AJ279" i="2"/>
  <c r="AF279" i="2"/>
  <c r="W279" i="2"/>
  <c r="AI279" i="2"/>
  <c r="Z279" i="2"/>
  <c r="AD279" i="2"/>
  <c r="Y279" i="2"/>
  <c r="AH279" i="2"/>
  <c r="AE279" i="2"/>
  <c r="V279" i="2"/>
  <c r="U279" i="2"/>
  <c r="AH108" i="2"/>
  <c r="AD108" i="2"/>
  <c r="Y108" i="2"/>
  <c r="U108" i="2"/>
  <c r="AK108" i="2"/>
  <c r="AG108" i="2"/>
  <c r="AC108" i="2"/>
  <c r="X108" i="2"/>
  <c r="AJ108" i="2"/>
  <c r="V108" i="2"/>
  <c r="AI108" i="2"/>
  <c r="Z108" i="2"/>
  <c r="AF108" i="2"/>
  <c r="W108" i="2"/>
  <c r="AE108" i="2"/>
  <c r="AH100" i="2"/>
  <c r="AD100" i="2"/>
  <c r="Y100" i="2"/>
  <c r="U100" i="2"/>
  <c r="AK100" i="2"/>
  <c r="AG100" i="2"/>
  <c r="AC100" i="2"/>
  <c r="X100" i="2"/>
  <c r="AJ100" i="2"/>
  <c r="AF100" i="2"/>
  <c r="V100" i="2"/>
  <c r="AI100" i="2"/>
  <c r="Z100" i="2"/>
  <c r="W100" i="2"/>
  <c r="AE100" i="2"/>
  <c r="AH96" i="2"/>
  <c r="AD96" i="2"/>
  <c r="Y96" i="2"/>
  <c r="U96" i="2"/>
  <c r="AK96" i="2"/>
  <c r="AG96" i="2"/>
  <c r="AC96" i="2"/>
  <c r="X96" i="2"/>
  <c r="AJ96" i="2"/>
  <c r="W96" i="2"/>
  <c r="V96" i="2"/>
  <c r="AI96" i="2"/>
  <c r="Z96" i="2"/>
  <c r="AF96" i="2"/>
  <c r="AE96" i="2"/>
  <c r="AH88" i="2"/>
  <c r="AD88" i="2"/>
  <c r="Y88" i="2"/>
  <c r="U88" i="2"/>
  <c r="AK88" i="2"/>
  <c r="AG88" i="2"/>
  <c r="AC88" i="2"/>
  <c r="X88" i="2"/>
  <c r="AJ88" i="2"/>
  <c r="AF88" i="2"/>
  <c r="AE88" i="2"/>
  <c r="V88" i="2"/>
  <c r="AI88" i="2"/>
  <c r="Z88" i="2"/>
  <c r="W88" i="2"/>
  <c r="AH84" i="2"/>
  <c r="AD84" i="2"/>
  <c r="Y84" i="2"/>
  <c r="U84" i="2"/>
  <c r="AK84" i="2"/>
  <c r="AG84" i="2"/>
  <c r="AC84" i="2"/>
  <c r="X84" i="2"/>
  <c r="AJ84" i="2"/>
  <c r="AF84" i="2"/>
  <c r="W84" i="2"/>
  <c r="V84" i="2"/>
  <c r="AI84" i="2"/>
  <c r="Z84" i="2"/>
  <c r="AE84" i="2"/>
  <c r="AH80" i="2"/>
  <c r="AD80" i="2"/>
  <c r="Y80" i="2"/>
  <c r="U80" i="2"/>
  <c r="AK80" i="2"/>
  <c r="AG80" i="2"/>
  <c r="AC80" i="2"/>
  <c r="X80" i="2"/>
  <c r="AJ80" i="2"/>
  <c r="W80" i="2"/>
  <c r="AE80" i="2"/>
  <c r="AI80" i="2"/>
  <c r="Z80" i="2"/>
  <c r="AF80" i="2"/>
  <c r="V80" i="2"/>
  <c r="AH76" i="2"/>
  <c r="AD76" i="2"/>
  <c r="Y76" i="2"/>
  <c r="U76" i="2"/>
  <c r="AK76" i="2"/>
  <c r="AG76" i="2"/>
  <c r="AC76" i="2"/>
  <c r="X76" i="2"/>
  <c r="AJ76" i="2"/>
  <c r="AF76" i="2"/>
  <c r="AE76" i="2"/>
  <c r="AI76" i="2"/>
  <c r="Z76" i="2"/>
  <c r="W76" i="2"/>
  <c r="V76" i="2"/>
  <c r="AH72" i="2"/>
  <c r="AD72" i="2"/>
  <c r="Y72" i="2"/>
  <c r="U72" i="2"/>
  <c r="AK72" i="2"/>
  <c r="AG72" i="2"/>
  <c r="AC72" i="2"/>
  <c r="X72" i="2"/>
  <c r="AJ72" i="2"/>
  <c r="W72" i="2"/>
  <c r="AE72" i="2"/>
  <c r="AI72" i="2"/>
  <c r="Z72" i="2"/>
  <c r="AF72" i="2"/>
  <c r="V72" i="2"/>
  <c r="AH68" i="2"/>
  <c r="AD68" i="2"/>
  <c r="Y68" i="2"/>
  <c r="U68" i="2"/>
  <c r="AK68" i="2"/>
  <c r="AG68" i="2"/>
  <c r="AC68" i="2"/>
  <c r="X68" i="2"/>
  <c r="AJ68" i="2"/>
  <c r="AF68" i="2"/>
  <c r="AI68" i="2"/>
  <c r="Z68" i="2"/>
  <c r="W68" i="2"/>
  <c r="AE68" i="2"/>
  <c r="V68" i="2"/>
  <c r="AH64" i="2"/>
  <c r="AD64" i="2"/>
  <c r="Y64" i="2"/>
  <c r="U64" i="2"/>
  <c r="AK64" i="2"/>
  <c r="AG64" i="2"/>
  <c r="AC64" i="2"/>
  <c r="X64" i="2"/>
  <c r="AJ64" i="2"/>
  <c r="W64" i="2"/>
  <c r="AE64" i="2"/>
  <c r="AI64" i="2"/>
  <c r="Z64" i="2"/>
  <c r="AF64" i="2"/>
  <c r="V64" i="2"/>
  <c r="AH60" i="2"/>
  <c r="AD60" i="2"/>
  <c r="Y60" i="2"/>
  <c r="U60" i="2"/>
  <c r="AK60" i="2"/>
  <c r="AG60" i="2"/>
  <c r="AC60" i="2"/>
  <c r="X60" i="2"/>
  <c r="AJ60" i="2"/>
  <c r="AF60" i="2"/>
  <c r="V60" i="2"/>
  <c r="AI60" i="2"/>
  <c r="Z60" i="2"/>
  <c r="W60" i="2"/>
  <c r="AE60" i="2"/>
  <c r="AH56" i="2"/>
  <c r="AD56" i="2"/>
  <c r="Y56" i="2"/>
  <c r="U56" i="2"/>
  <c r="AK56" i="2"/>
  <c r="AG56" i="2"/>
  <c r="AC56" i="2"/>
  <c r="X56" i="2"/>
  <c r="AJ56" i="2"/>
  <c r="W56" i="2"/>
  <c r="V56" i="2"/>
  <c r="AI56" i="2"/>
  <c r="Z56" i="2"/>
  <c r="AF56" i="2"/>
  <c r="AE56" i="2"/>
  <c r="AH52" i="2"/>
  <c r="AD52" i="2"/>
  <c r="Y52" i="2"/>
  <c r="U52" i="2"/>
  <c r="AK52" i="2"/>
  <c r="AG52" i="2"/>
  <c r="AC52" i="2"/>
  <c r="X52" i="2"/>
  <c r="AJ52" i="2"/>
  <c r="W52" i="2"/>
  <c r="AE52" i="2"/>
  <c r="AI52" i="2"/>
  <c r="Z52" i="2"/>
  <c r="AF52" i="2"/>
  <c r="V52" i="2"/>
  <c r="AH48" i="2"/>
  <c r="AD48" i="2"/>
  <c r="Y48" i="2"/>
  <c r="U48" i="2"/>
  <c r="AK48" i="2"/>
  <c r="AG48" i="2"/>
  <c r="AC48" i="2"/>
  <c r="X48" i="2"/>
  <c r="AJ48" i="2"/>
  <c r="W48" i="2"/>
  <c r="V48" i="2"/>
  <c r="AI48" i="2"/>
  <c r="Z48" i="2"/>
  <c r="AF48" i="2"/>
  <c r="AE48" i="2"/>
  <c r="AH44" i="2"/>
  <c r="AD44" i="2"/>
  <c r="Y44" i="2"/>
  <c r="U44" i="2"/>
  <c r="AK44" i="2"/>
  <c r="AG44" i="2"/>
  <c r="AC44" i="2"/>
  <c r="X44" i="2"/>
  <c r="AJ44" i="2"/>
  <c r="W44" i="2"/>
  <c r="V44" i="2"/>
  <c r="AI44" i="2"/>
  <c r="Z44" i="2"/>
  <c r="AF44" i="2"/>
  <c r="AE44" i="2"/>
  <c r="AH40" i="2"/>
  <c r="AD40" i="2"/>
  <c r="Y40" i="2"/>
  <c r="U40" i="2"/>
  <c r="AK40" i="2"/>
  <c r="AG40" i="2"/>
  <c r="AC40" i="2"/>
  <c r="X40" i="2"/>
  <c r="AJ40" i="2"/>
  <c r="W40" i="2"/>
  <c r="V40" i="2"/>
  <c r="AI40" i="2"/>
  <c r="Z40" i="2"/>
  <c r="AF40" i="2"/>
  <c r="AE40" i="2"/>
  <c r="AH36" i="2"/>
  <c r="AD36" i="2"/>
  <c r="Y36" i="2"/>
  <c r="U36" i="2"/>
  <c r="AK36" i="2"/>
  <c r="AG36" i="2"/>
  <c r="AC36" i="2"/>
  <c r="X36" i="2"/>
  <c r="AJ36" i="2"/>
  <c r="AE36" i="2"/>
  <c r="V36" i="2"/>
  <c r="AI36" i="2"/>
  <c r="Z36" i="2"/>
  <c r="AF36" i="2"/>
  <c r="W36" i="2"/>
  <c r="AH32" i="2"/>
  <c r="AD32" i="2"/>
  <c r="Y32" i="2"/>
  <c r="U32" i="2"/>
  <c r="AK32" i="2"/>
  <c r="AG32" i="2"/>
  <c r="AC32" i="2"/>
  <c r="X32" i="2"/>
  <c r="AJ32" i="2"/>
  <c r="W32" i="2"/>
  <c r="V32" i="2"/>
  <c r="AI32" i="2"/>
  <c r="Z32" i="2"/>
  <c r="AF32" i="2"/>
  <c r="AE32" i="2"/>
  <c r="AH28" i="2"/>
  <c r="AD28" i="2"/>
  <c r="Y28" i="2"/>
  <c r="U28" i="2"/>
  <c r="AK28" i="2"/>
  <c r="AG28" i="2"/>
  <c r="AC28" i="2"/>
  <c r="X28" i="2"/>
  <c r="AJ28" i="2"/>
  <c r="W28" i="2"/>
  <c r="V28" i="2"/>
  <c r="AI28" i="2"/>
  <c r="Z28" i="2"/>
  <c r="AF28" i="2"/>
  <c r="AE28" i="2"/>
  <c r="AH24" i="2"/>
  <c r="AD24" i="2"/>
  <c r="Y24" i="2"/>
  <c r="U24" i="2"/>
  <c r="AK24" i="2"/>
  <c r="AG24" i="2"/>
  <c r="AC24" i="2"/>
  <c r="X24" i="2"/>
  <c r="AJ24" i="2"/>
  <c r="AF24" i="2"/>
  <c r="AE24" i="2"/>
  <c r="AI24" i="2"/>
  <c r="Z24" i="2"/>
  <c r="W24" i="2"/>
  <c r="V24" i="2"/>
  <c r="AH20" i="2"/>
  <c r="AD20" i="2"/>
  <c r="Y20" i="2"/>
  <c r="U20" i="2"/>
  <c r="AK20" i="2"/>
  <c r="AG20" i="2"/>
  <c r="AC20" i="2"/>
  <c r="X20" i="2"/>
  <c r="AJ20" i="2"/>
  <c r="W20" i="2"/>
  <c r="AE20" i="2"/>
  <c r="AI20" i="2"/>
  <c r="Z20" i="2"/>
  <c r="AF20" i="2"/>
  <c r="V20" i="2"/>
  <c r="AH16" i="2"/>
  <c r="AD16" i="2"/>
  <c r="Y16" i="2"/>
  <c r="U16" i="2"/>
  <c r="AK16" i="2"/>
  <c r="AG16" i="2"/>
  <c r="AC16" i="2"/>
  <c r="X16" i="2"/>
  <c r="AJ16" i="2"/>
  <c r="W16" i="2"/>
  <c r="AE16" i="2"/>
  <c r="AI16" i="2"/>
  <c r="Z16" i="2"/>
  <c r="AF16" i="2"/>
  <c r="V16" i="2"/>
  <c r="AH12" i="2"/>
  <c r="AD12" i="2"/>
  <c r="Y12" i="2"/>
  <c r="U12" i="2"/>
  <c r="AK12" i="2"/>
  <c r="AG12" i="2"/>
  <c r="AC12" i="2"/>
  <c r="X12" i="2"/>
  <c r="AJ12" i="2"/>
  <c r="AE12" i="2"/>
  <c r="AI12" i="2"/>
  <c r="Z12" i="2"/>
  <c r="AF12" i="2"/>
  <c r="W12" i="2"/>
  <c r="V12" i="2"/>
  <c r="AI6" i="2"/>
  <c r="AE6" i="2"/>
  <c r="Z6" i="2"/>
  <c r="V6" i="2"/>
  <c r="AH6" i="2"/>
  <c r="AD6" i="2"/>
  <c r="Y6" i="2"/>
  <c r="U6" i="2"/>
  <c r="AJ6" i="2"/>
  <c r="W6" i="2"/>
  <c r="AK6" i="2"/>
  <c r="AG6" i="2"/>
  <c r="X6" i="2"/>
  <c r="AF6" i="2"/>
  <c r="AC6" i="2"/>
  <c r="AI244" i="2"/>
  <c r="AE244" i="2"/>
  <c r="Z244" i="2"/>
  <c r="V244" i="2"/>
  <c r="AK244" i="2"/>
  <c r="AF244" i="2"/>
  <c r="Y244" i="2"/>
  <c r="AJ244" i="2"/>
  <c r="AD244" i="2"/>
  <c r="X244" i="2"/>
  <c r="AH244" i="2"/>
  <c r="W244" i="2"/>
  <c r="AG244" i="2"/>
  <c r="U244" i="2"/>
  <c r="AC244" i="2"/>
  <c r="AI254" i="2"/>
  <c r="AE254" i="2"/>
  <c r="Z254" i="2"/>
  <c r="V254" i="2"/>
  <c r="AK254" i="2"/>
  <c r="AF254" i="2"/>
  <c r="Y254" i="2"/>
  <c r="AJ254" i="2"/>
  <c r="AD254" i="2"/>
  <c r="X254" i="2"/>
  <c r="AH254" i="2"/>
  <c r="W254" i="2"/>
  <c r="AG254" i="2"/>
  <c r="U254" i="2"/>
  <c r="AC254" i="2"/>
  <c r="AJ112" i="2"/>
  <c r="AF112" i="2"/>
  <c r="W112" i="2"/>
  <c r="AI112" i="2"/>
  <c r="AE112" i="2"/>
  <c r="Z112" i="2"/>
  <c r="V112" i="2"/>
  <c r="AD112" i="2"/>
  <c r="U112" i="2"/>
  <c r="AK112" i="2"/>
  <c r="AC112" i="2"/>
  <c r="AH112" i="2"/>
  <c r="AG112" i="2"/>
  <c r="Y112" i="2"/>
  <c r="X112" i="2"/>
  <c r="AJ120" i="2"/>
  <c r="AF120" i="2"/>
  <c r="W120" i="2"/>
  <c r="AI120" i="2"/>
  <c r="AE120" i="2"/>
  <c r="Z120" i="2"/>
  <c r="V120" i="2"/>
  <c r="AD120" i="2"/>
  <c r="U120" i="2"/>
  <c r="AK120" i="2"/>
  <c r="AC120" i="2"/>
  <c r="AH120" i="2"/>
  <c r="AG120" i="2"/>
  <c r="Y120" i="2"/>
  <c r="X120" i="2"/>
  <c r="AJ128" i="2"/>
  <c r="AF128" i="2"/>
  <c r="W128" i="2"/>
  <c r="AI128" i="2"/>
  <c r="AE128" i="2"/>
  <c r="Z128" i="2"/>
  <c r="V128" i="2"/>
  <c r="AD128" i="2"/>
  <c r="U128" i="2"/>
  <c r="AK128" i="2"/>
  <c r="AC128" i="2"/>
  <c r="AH128" i="2"/>
  <c r="AG128" i="2"/>
  <c r="Y128" i="2"/>
  <c r="X128" i="2"/>
  <c r="AJ136" i="2"/>
  <c r="AF136" i="2"/>
  <c r="W136" i="2"/>
  <c r="AI136" i="2"/>
  <c r="AE136" i="2"/>
  <c r="Z136" i="2"/>
  <c r="V136" i="2"/>
  <c r="AD136" i="2"/>
  <c r="U136" i="2"/>
  <c r="AK136" i="2"/>
  <c r="AC136" i="2"/>
  <c r="AH136" i="2"/>
  <c r="X136" i="2"/>
  <c r="AG136" i="2"/>
  <c r="Y136" i="2"/>
  <c r="AJ144" i="2"/>
  <c r="AF144" i="2"/>
  <c r="W144" i="2"/>
  <c r="AI144" i="2"/>
  <c r="AE144" i="2"/>
  <c r="Z144" i="2"/>
  <c r="V144" i="2"/>
  <c r="AD144" i="2"/>
  <c r="U144" i="2"/>
  <c r="AK144" i="2"/>
  <c r="AC144" i="2"/>
  <c r="AH144" i="2"/>
  <c r="X144" i="2"/>
  <c r="AG144" i="2"/>
  <c r="Y144" i="2"/>
  <c r="AJ152" i="2"/>
  <c r="AF152" i="2"/>
  <c r="W152" i="2"/>
  <c r="AI152" i="2"/>
  <c r="AE152" i="2"/>
  <c r="Z152" i="2"/>
  <c r="V152" i="2"/>
  <c r="AD152" i="2"/>
  <c r="U152" i="2"/>
  <c r="AK152" i="2"/>
  <c r="AC152" i="2"/>
  <c r="AH152" i="2"/>
  <c r="X152" i="2"/>
  <c r="AG152" i="2"/>
  <c r="Y152" i="2"/>
  <c r="AI235" i="2"/>
  <c r="AE235" i="2"/>
  <c r="Z235" i="2"/>
  <c r="V235" i="2"/>
  <c r="AK235" i="2"/>
  <c r="AF235" i="2"/>
  <c r="Y235" i="2"/>
  <c r="AJ235" i="2"/>
  <c r="AD235" i="2"/>
  <c r="X235" i="2"/>
  <c r="AC235" i="2"/>
  <c r="AH235" i="2"/>
  <c r="AG235" i="2"/>
  <c r="W235" i="2"/>
  <c r="U235" i="2"/>
  <c r="AI243" i="2"/>
  <c r="AE243" i="2"/>
  <c r="Z243" i="2"/>
  <c r="V243" i="2"/>
  <c r="AK243" i="2"/>
  <c r="AF243" i="2"/>
  <c r="Y243" i="2"/>
  <c r="AJ243" i="2"/>
  <c r="AD243" i="2"/>
  <c r="X243" i="2"/>
  <c r="AC243" i="2"/>
  <c r="AH243" i="2"/>
  <c r="AG243" i="2"/>
  <c r="W243" i="2"/>
  <c r="U243" i="2"/>
  <c r="AI259" i="2"/>
  <c r="AE259" i="2"/>
  <c r="Z259" i="2"/>
  <c r="V259" i="2"/>
  <c r="AK259" i="2"/>
  <c r="AF259" i="2"/>
  <c r="Y259" i="2"/>
  <c r="AJ259" i="2"/>
  <c r="AD259" i="2"/>
  <c r="X259" i="2"/>
  <c r="AC259" i="2"/>
  <c r="AH259" i="2"/>
  <c r="AG259" i="2"/>
  <c r="W259" i="2"/>
  <c r="U259" i="2"/>
  <c r="AJ161" i="2"/>
  <c r="AF161" i="2"/>
  <c r="W161" i="2"/>
  <c r="AI161" i="2"/>
  <c r="AE161" i="2"/>
  <c r="Z161" i="2"/>
  <c r="V161" i="2"/>
  <c r="AD161" i="2"/>
  <c r="U161" i="2"/>
  <c r="AK161" i="2"/>
  <c r="AC161" i="2"/>
  <c r="Y161" i="2"/>
  <c r="X161" i="2"/>
  <c r="AH161" i="2"/>
  <c r="AG161" i="2"/>
  <c r="AJ169" i="2"/>
  <c r="AF169" i="2"/>
  <c r="W169" i="2"/>
  <c r="AI169" i="2"/>
  <c r="AE169" i="2"/>
  <c r="Z169" i="2"/>
  <c r="V169" i="2"/>
  <c r="AD169" i="2"/>
  <c r="U169" i="2"/>
  <c r="AK169" i="2"/>
  <c r="AC169" i="2"/>
  <c r="Y169" i="2"/>
  <c r="X169" i="2"/>
  <c r="AH169" i="2"/>
  <c r="AG169" i="2"/>
  <c r="AJ177" i="2"/>
  <c r="AF177" i="2"/>
  <c r="W177" i="2"/>
  <c r="AI177" i="2"/>
  <c r="AE177" i="2"/>
  <c r="Z177" i="2"/>
  <c r="V177" i="2"/>
  <c r="AD177" i="2"/>
  <c r="U177" i="2"/>
  <c r="AK177" i="2"/>
  <c r="AC177" i="2"/>
  <c r="Y177" i="2"/>
  <c r="X177" i="2"/>
  <c r="AH177" i="2"/>
  <c r="AG177" i="2"/>
  <c r="AJ185" i="2"/>
  <c r="AF185" i="2"/>
  <c r="W185" i="2"/>
  <c r="AI185" i="2"/>
  <c r="AE185" i="2"/>
  <c r="Z185" i="2"/>
  <c r="V185" i="2"/>
  <c r="AD185" i="2"/>
  <c r="U185" i="2"/>
  <c r="AK185" i="2"/>
  <c r="AC185" i="2"/>
  <c r="Y185" i="2"/>
  <c r="X185" i="2"/>
  <c r="AH185" i="2"/>
  <c r="AG185" i="2"/>
  <c r="AJ193" i="2"/>
  <c r="AF193" i="2"/>
  <c r="W193" i="2"/>
  <c r="AI193" i="2"/>
  <c r="AE193" i="2"/>
  <c r="Z193" i="2"/>
  <c r="V193" i="2"/>
  <c r="AD193" i="2"/>
  <c r="U193" i="2"/>
  <c r="AK193" i="2"/>
  <c r="AC193" i="2"/>
  <c r="Y193" i="2"/>
  <c r="X193" i="2"/>
  <c r="AH193" i="2"/>
  <c r="AG193" i="2"/>
  <c r="AJ197" i="2"/>
  <c r="AF197" i="2"/>
  <c r="W197" i="2"/>
  <c r="AI197" i="2"/>
  <c r="AE197" i="2"/>
  <c r="Z197" i="2"/>
  <c r="V197" i="2"/>
  <c r="AD197" i="2"/>
  <c r="U197" i="2"/>
  <c r="AK197" i="2"/>
  <c r="AC197" i="2"/>
  <c r="Y197" i="2"/>
  <c r="X197" i="2"/>
  <c r="AH197" i="2"/>
  <c r="AG197" i="2"/>
  <c r="AJ205" i="2"/>
  <c r="AF205" i="2"/>
  <c r="W205" i="2"/>
  <c r="AI205" i="2"/>
  <c r="AE205" i="2"/>
  <c r="Z205" i="2"/>
  <c r="V205" i="2"/>
  <c r="AD205" i="2"/>
  <c r="U205" i="2"/>
  <c r="AK205" i="2"/>
  <c r="AC205" i="2"/>
  <c r="Y205" i="2"/>
  <c r="X205" i="2"/>
  <c r="AH205" i="2"/>
  <c r="AG205" i="2"/>
  <c r="AJ209" i="2"/>
  <c r="AF209" i="2"/>
  <c r="W209" i="2"/>
  <c r="AI209" i="2"/>
  <c r="AE209" i="2"/>
  <c r="Z209" i="2"/>
  <c r="V209" i="2"/>
  <c r="AD209" i="2"/>
  <c r="U209" i="2"/>
  <c r="AK209" i="2"/>
  <c r="AC209" i="2"/>
  <c r="Y209" i="2"/>
  <c r="X209" i="2"/>
  <c r="AH209" i="2"/>
  <c r="AG209" i="2"/>
  <c r="AK220" i="2"/>
  <c r="AG220" i="2"/>
  <c r="AC220" i="2"/>
  <c r="X220" i="2"/>
  <c r="AJ220" i="2"/>
  <c r="AF220" i="2"/>
  <c r="W220" i="2"/>
  <c r="AE220" i="2"/>
  <c r="V220" i="2"/>
  <c r="AD220" i="2"/>
  <c r="U220" i="2"/>
  <c r="Z220" i="2"/>
  <c r="Y220" i="2"/>
  <c r="AI220" i="2"/>
  <c r="AH220" i="2"/>
  <c r="AK224" i="2"/>
  <c r="AG224" i="2"/>
  <c r="AC224" i="2"/>
  <c r="X224" i="2"/>
  <c r="AJ224" i="2"/>
  <c r="AF224" i="2"/>
  <c r="W224" i="2"/>
  <c r="AE224" i="2"/>
  <c r="V224" i="2"/>
  <c r="AD224" i="2"/>
  <c r="U224" i="2"/>
  <c r="Z224" i="2"/>
  <c r="Y224" i="2"/>
  <c r="AI224" i="2"/>
  <c r="AH224" i="2"/>
  <c r="AK228" i="2"/>
  <c r="AG228" i="2"/>
  <c r="AC228" i="2"/>
  <c r="X228" i="2"/>
  <c r="AJ228" i="2"/>
  <c r="AF228" i="2"/>
  <c r="W228" i="2"/>
  <c r="AE228" i="2"/>
  <c r="V228" i="2"/>
  <c r="AD228" i="2"/>
  <c r="U228" i="2"/>
  <c r="Z228" i="2"/>
  <c r="Y228" i="2"/>
  <c r="AI228" i="2"/>
  <c r="AH228" i="2"/>
  <c r="AK264" i="2"/>
  <c r="AG264" i="2"/>
  <c r="AC264" i="2"/>
  <c r="X264" i="2"/>
  <c r="AJ264" i="2"/>
  <c r="AF264" i="2"/>
  <c r="W264" i="2"/>
  <c r="AI264" i="2"/>
  <c r="Z264" i="2"/>
  <c r="AH264" i="2"/>
  <c r="V264" i="2"/>
  <c r="AE264" i="2"/>
  <c r="U264" i="2"/>
  <c r="AD264" i="2"/>
  <c r="Y264" i="2"/>
  <c r="AK268" i="2"/>
  <c r="AG268" i="2"/>
  <c r="AC268" i="2"/>
  <c r="X268" i="2"/>
  <c r="AJ268" i="2"/>
  <c r="AF268" i="2"/>
  <c r="W268" i="2"/>
  <c r="AI268" i="2"/>
  <c r="Z268" i="2"/>
  <c r="AH268" i="2"/>
  <c r="V268" i="2"/>
  <c r="AE268" i="2"/>
  <c r="U268" i="2"/>
  <c r="AD268" i="2"/>
  <c r="Y268" i="2"/>
  <c r="AK272" i="2"/>
  <c r="AG272" i="2"/>
  <c r="AC272" i="2"/>
  <c r="X272" i="2"/>
  <c r="AJ272" i="2"/>
  <c r="AF272" i="2"/>
  <c r="W272" i="2"/>
  <c r="AI272" i="2"/>
  <c r="Z272" i="2"/>
  <c r="AH272" i="2"/>
  <c r="V272" i="2"/>
  <c r="AE272" i="2"/>
  <c r="U272" i="2"/>
  <c r="AD272" i="2"/>
  <c r="Y272" i="2"/>
  <c r="AK276" i="2"/>
  <c r="AG276" i="2"/>
  <c r="AC276" i="2"/>
  <c r="X276" i="2"/>
  <c r="AJ276" i="2"/>
  <c r="AF276" i="2"/>
  <c r="W276" i="2"/>
  <c r="AI276" i="2"/>
  <c r="Z276" i="2"/>
  <c r="AH276" i="2"/>
  <c r="V276" i="2"/>
  <c r="AE276" i="2"/>
  <c r="U276" i="2"/>
  <c r="AD276" i="2"/>
  <c r="Y276" i="2"/>
  <c r="AK280" i="2"/>
  <c r="AG280" i="2"/>
  <c r="AC280" i="2"/>
  <c r="X280" i="2"/>
  <c r="AJ280" i="2"/>
  <c r="AF280" i="2"/>
  <c r="W280" i="2"/>
  <c r="AI280" i="2"/>
  <c r="Z280" i="2"/>
  <c r="AH280" i="2"/>
  <c r="V280" i="2"/>
  <c r="AE280" i="2"/>
  <c r="U280" i="2"/>
  <c r="AD280" i="2"/>
  <c r="Y280" i="2"/>
  <c r="AH107" i="2"/>
  <c r="AD107" i="2"/>
  <c r="Y107" i="2"/>
  <c r="U107" i="2"/>
  <c r="AK107" i="2"/>
  <c r="AG107" i="2"/>
  <c r="AC107" i="2"/>
  <c r="X107" i="2"/>
  <c r="AJ107" i="2"/>
  <c r="V107" i="2"/>
  <c r="AI107" i="2"/>
  <c r="Z107" i="2"/>
  <c r="AF107" i="2"/>
  <c r="W107" i="2"/>
  <c r="AE107" i="2"/>
  <c r="AH103" i="2"/>
  <c r="AD103" i="2"/>
  <c r="Y103" i="2"/>
  <c r="U103" i="2"/>
  <c r="AK103" i="2"/>
  <c r="AG103" i="2"/>
  <c r="AC103" i="2"/>
  <c r="X103" i="2"/>
  <c r="AJ103" i="2"/>
  <c r="AF103" i="2"/>
  <c r="V103" i="2"/>
  <c r="AI103" i="2"/>
  <c r="Z103" i="2"/>
  <c r="W103" i="2"/>
  <c r="AE103" i="2"/>
  <c r="AH99" i="2"/>
  <c r="AD99" i="2"/>
  <c r="Y99" i="2"/>
  <c r="U99" i="2"/>
  <c r="AK99" i="2"/>
  <c r="AG99" i="2"/>
  <c r="AC99" i="2"/>
  <c r="X99" i="2"/>
  <c r="AJ99" i="2"/>
  <c r="AF99" i="2"/>
  <c r="W99" i="2"/>
  <c r="V99" i="2"/>
  <c r="AI99" i="2"/>
  <c r="Z99" i="2"/>
  <c r="AE99" i="2"/>
  <c r="AH95" i="2"/>
  <c r="AD95" i="2"/>
  <c r="Y95" i="2"/>
  <c r="U95" i="2"/>
  <c r="AK95" i="2"/>
  <c r="AG95" i="2"/>
  <c r="AC95" i="2"/>
  <c r="X95" i="2"/>
  <c r="AJ95" i="2"/>
  <c r="W95" i="2"/>
  <c r="V95" i="2"/>
  <c r="AI95" i="2"/>
  <c r="Z95" i="2"/>
  <c r="AF95" i="2"/>
  <c r="AE95" i="2"/>
  <c r="AH91" i="2"/>
  <c r="AD91" i="2"/>
  <c r="Y91" i="2"/>
  <c r="U91" i="2"/>
  <c r="AK91" i="2"/>
  <c r="AG91" i="2"/>
  <c r="AC91" i="2"/>
  <c r="X91" i="2"/>
  <c r="AJ91" i="2"/>
  <c r="W91" i="2"/>
  <c r="V91" i="2"/>
  <c r="AI91" i="2"/>
  <c r="Z91" i="2"/>
  <c r="AF91" i="2"/>
  <c r="AE91" i="2"/>
  <c r="AH87" i="2"/>
  <c r="AD87" i="2"/>
  <c r="Y87" i="2"/>
  <c r="U87" i="2"/>
  <c r="AK87" i="2"/>
  <c r="AG87" i="2"/>
  <c r="AC87" i="2"/>
  <c r="X87" i="2"/>
  <c r="AJ87" i="2"/>
  <c r="AF87" i="2"/>
  <c r="V87" i="2"/>
  <c r="AI87" i="2"/>
  <c r="Z87" i="2"/>
  <c r="W87" i="2"/>
  <c r="AE87" i="2"/>
  <c r="AH83" i="2"/>
  <c r="AD83" i="2"/>
  <c r="Y83" i="2"/>
  <c r="U83" i="2"/>
  <c r="AK83" i="2"/>
  <c r="AG83" i="2"/>
  <c r="AC83" i="2"/>
  <c r="X83" i="2"/>
  <c r="AJ83" i="2"/>
  <c r="W83" i="2"/>
  <c r="V83" i="2"/>
  <c r="AI83" i="2"/>
  <c r="Z83" i="2"/>
  <c r="AF83" i="2"/>
  <c r="AE83" i="2"/>
  <c r="AH79" i="2"/>
  <c r="AD79" i="2"/>
  <c r="Y79" i="2"/>
  <c r="U79" i="2"/>
  <c r="AK79" i="2"/>
  <c r="AG79" i="2"/>
  <c r="AC79" i="2"/>
  <c r="X79" i="2"/>
  <c r="AJ79" i="2"/>
  <c r="W79" i="2"/>
  <c r="AE79" i="2"/>
  <c r="AI79" i="2"/>
  <c r="Z79" i="2"/>
  <c r="AF79" i="2"/>
  <c r="V79" i="2"/>
  <c r="AH75" i="2"/>
  <c r="AD75" i="2"/>
  <c r="Y75" i="2"/>
  <c r="U75" i="2"/>
  <c r="AK75" i="2"/>
  <c r="AG75" i="2"/>
  <c r="AC75" i="2"/>
  <c r="X75" i="2"/>
  <c r="AJ75" i="2"/>
  <c r="W75" i="2"/>
  <c r="AE75" i="2"/>
  <c r="AI75" i="2"/>
  <c r="Z75" i="2"/>
  <c r="AF75" i="2"/>
  <c r="V75" i="2"/>
  <c r="AH71" i="2"/>
  <c r="AD71" i="2"/>
  <c r="Y71" i="2"/>
  <c r="U71" i="2"/>
  <c r="AK71" i="2"/>
  <c r="AG71" i="2"/>
  <c r="AC71" i="2"/>
  <c r="X71" i="2"/>
  <c r="AJ71" i="2"/>
  <c r="AF71" i="2"/>
  <c r="AE71" i="2"/>
  <c r="AI71" i="2"/>
  <c r="Z71" i="2"/>
  <c r="W71" i="2"/>
  <c r="V71" i="2"/>
  <c r="AH67" i="2"/>
  <c r="AD67" i="2"/>
  <c r="Y67" i="2"/>
  <c r="U67" i="2"/>
  <c r="AK67" i="2"/>
  <c r="AG67" i="2"/>
  <c r="AC67" i="2"/>
  <c r="X67" i="2"/>
  <c r="AJ67" i="2"/>
  <c r="AF67" i="2"/>
  <c r="AE67" i="2"/>
  <c r="AI67" i="2"/>
  <c r="Z67" i="2"/>
  <c r="W67" i="2"/>
  <c r="V67" i="2"/>
  <c r="AH63" i="2"/>
  <c r="AD63" i="2"/>
  <c r="Y63" i="2"/>
  <c r="U63" i="2"/>
  <c r="AK63" i="2"/>
  <c r="AG63" i="2"/>
  <c r="AC63" i="2"/>
  <c r="X63" i="2"/>
  <c r="AJ63" i="2"/>
  <c r="AF63" i="2"/>
  <c r="AE63" i="2"/>
  <c r="AI63" i="2"/>
  <c r="Z63" i="2"/>
  <c r="W63" i="2"/>
  <c r="V63" i="2"/>
  <c r="AH59" i="2"/>
  <c r="AD59" i="2"/>
  <c r="Y59" i="2"/>
  <c r="U59" i="2"/>
  <c r="AK59" i="2"/>
  <c r="AG59" i="2"/>
  <c r="AC59" i="2"/>
  <c r="X59" i="2"/>
  <c r="AJ59" i="2"/>
  <c r="W59" i="2"/>
  <c r="V59" i="2"/>
  <c r="AI59" i="2"/>
  <c r="Z59" i="2"/>
  <c r="AF59" i="2"/>
  <c r="AE59" i="2"/>
  <c r="AH55" i="2"/>
  <c r="AD55" i="2"/>
  <c r="Y55" i="2"/>
  <c r="U55" i="2"/>
  <c r="AK55" i="2"/>
  <c r="AG55" i="2"/>
  <c r="AC55" i="2"/>
  <c r="X55" i="2"/>
  <c r="AJ55" i="2"/>
  <c r="W55" i="2"/>
  <c r="AI55" i="2"/>
  <c r="Z55" i="2"/>
  <c r="AF55" i="2"/>
  <c r="AE55" i="2"/>
  <c r="V55" i="2"/>
  <c r="AH51" i="2"/>
  <c r="AD51" i="2"/>
  <c r="Y51" i="2"/>
  <c r="U51" i="2"/>
  <c r="AK51" i="2"/>
  <c r="AG51" i="2"/>
  <c r="AC51" i="2"/>
  <c r="X51" i="2"/>
  <c r="AJ51" i="2"/>
  <c r="W51" i="2"/>
  <c r="AE51" i="2"/>
  <c r="V51" i="2"/>
  <c r="AI51" i="2"/>
  <c r="Z51" i="2"/>
  <c r="AF51" i="2"/>
  <c r="AH47" i="2"/>
  <c r="AD47" i="2"/>
  <c r="Y47" i="2"/>
  <c r="U47" i="2"/>
  <c r="AK47" i="2"/>
  <c r="AG47" i="2"/>
  <c r="AC47" i="2"/>
  <c r="X47" i="2"/>
  <c r="AJ47" i="2"/>
  <c r="W47" i="2"/>
  <c r="V47" i="2"/>
  <c r="AI47" i="2"/>
  <c r="Z47" i="2"/>
  <c r="AF47" i="2"/>
  <c r="AE47" i="2"/>
  <c r="AH43" i="2"/>
  <c r="AD43" i="2"/>
  <c r="Y43" i="2"/>
  <c r="U43" i="2"/>
  <c r="AK43" i="2"/>
  <c r="AG43" i="2"/>
  <c r="AC43" i="2"/>
  <c r="X43" i="2"/>
  <c r="AJ43" i="2"/>
  <c r="W43" i="2"/>
  <c r="V43" i="2"/>
  <c r="AI43" i="2"/>
  <c r="Z43" i="2"/>
  <c r="AF43" i="2"/>
  <c r="AE43" i="2"/>
  <c r="AH39" i="2"/>
  <c r="AD39" i="2"/>
  <c r="Y39" i="2"/>
  <c r="U39" i="2"/>
  <c r="AK39" i="2"/>
  <c r="AG39" i="2"/>
  <c r="AC39" i="2"/>
  <c r="X39" i="2"/>
  <c r="AJ39" i="2"/>
  <c r="W39" i="2"/>
  <c r="AI39" i="2"/>
  <c r="Z39" i="2"/>
  <c r="AF39" i="2"/>
  <c r="AE39" i="2"/>
  <c r="V39" i="2"/>
  <c r="AH35" i="2"/>
  <c r="AD35" i="2"/>
  <c r="Y35" i="2"/>
  <c r="U35" i="2"/>
  <c r="AK35" i="2"/>
  <c r="AG35" i="2"/>
  <c r="AC35" i="2"/>
  <c r="X35" i="2"/>
  <c r="AJ35" i="2"/>
  <c r="AF35" i="2"/>
  <c r="V35" i="2"/>
  <c r="AI35" i="2"/>
  <c r="Z35" i="2"/>
  <c r="W35" i="2"/>
  <c r="AE35" i="2"/>
  <c r="AH31" i="2"/>
  <c r="AD31" i="2"/>
  <c r="Y31" i="2"/>
  <c r="U31" i="2"/>
  <c r="AK31" i="2"/>
  <c r="AG31" i="2"/>
  <c r="AC31" i="2"/>
  <c r="X31" i="2"/>
  <c r="AJ31" i="2"/>
  <c r="W31" i="2"/>
  <c r="V31" i="2"/>
  <c r="AI31" i="2"/>
  <c r="Z31" i="2"/>
  <c r="AF31" i="2"/>
  <c r="AE31" i="2"/>
  <c r="AH27" i="2"/>
  <c r="AD27" i="2"/>
  <c r="Y27" i="2"/>
  <c r="U27" i="2"/>
  <c r="AK27" i="2"/>
  <c r="AG27" i="2"/>
  <c r="AC27" i="2"/>
  <c r="X27" i="2"/>
  <c r="AJ27" i="2"/>
  <c r="W27" i="2"/>
  <c r="AE27" i="2"/>
  <c r="AI27" i="2"/>
  <c r="Z27" i="2"/>
  <c r="AF27" i="2"/>
  <c r="V27" i="2"/>
  <c r="AH23" i="2"/>
  <c r="AD23" i="2"/>
  <c r="Y23" i="2"/>
  <c r="U23" i="2"/>
  <c r="AK23" i="2"/>
  <c r="AG23" i="2"/>
  <c r="AC23" i="2"/>
  <c r="X23" i="2"/>
  <c r="AJ23" i="2"/>
  <c r="AF23" i="2"/>
  <c r="AE23" i="2"/>
  <c r="AI23" i="2"/>
  <c r="Z23" i="2"/>
  <c r="W23" i="2"/>
  <c r="V23" i="2"/>
  <c r="AH19" i="2"/>
  <c r="AD19" i="2"/>
  <c r="Y19" i="2"/>
  <c r="U19" i="2"/>
  <c r="AK19" i="2"/>
  <c r="AG19" i="2"/>
  <c r="AC19" i="2"/>
  <c r="X19" i="2"/>
  <c r="AJ19" i="2"/>
  <c r="AF19" i="2"/>
  <c r="W19" i="2"/>
  <c r="AE19" i="2"/>
  <c r="AI19" i="2"/>
  <c r="Z19" i="2"/>
  <c r="V19" i="2"/>
  <c r="AH15" i="2"/>
  <c r="AD15" i="2"/>
  <c r="Y15" i="2"/>
  <c r="U15" i="2"/>
  <c r="AK15" i="2"/>
  <c r="AG15" i="2"/>
  <c r="AC15" i="2"/>
  <c r="X15" i="2"/>
  <c r="AJ15" i="2"/>
  <c r="W15" i="2"/>
  <c r="V15" i="2"/>
  <c r="AI15" i="2"/>
  <c r="Z15" i="2"/>
  <c r="AF15" i="2"/>
  <c r="AE15" i="2"/>
  <c r="AH11" i="2"/>
  <c r="AD11" i="2"/>
  <c r="Y11" i="2"/>
  <c r="U11" i="2"/>
  <c r="AK11" i="2"/>
  <c r="AG11" i="2"/>
  <c r="AC11" i="2"/>
  <c r="X11" i="2"/>
  <c r="AJ11" i="2"/>
  <c r="AE11" i="2"/>
  <c r="AI11" i="2"/>
  <c r="Z11" i="2"/>
  <c r="AF11" i="2"/>
  <c r="W11" i="2"/>
  <c r="V11" i="2"/>
  <c r="AI256" i="2"/>
  <c r="AE256" i="2"/>
  <c r="Z256" i="2"/>
  <c r="V256" i="2"/>
  <c r="AK256" i="2"/>
  <c r="AF256" i="2"/>
  <c r="Y256" i="2"/>
  <c r="AJ256" i="2"/>
  <c r="AD256" i="2"/>
  <c r="X256" i="2"/>
  <c r="AH256" i="2"/>
  <c r="W256" i="2"/>
  <c r="AG256" i="2"/>
  <c r="U256" i="2"/>
  <c r="AC256" i="2"/>
  <c r="AK4" i="2"/>
  <c r="AG4" i="2"/>
  <c r="AC4" i="2"/>
  <c r="X4" i="2"/>
  <c r="AJ4" i="2"/>
  <c r="AF4" i="2"/>
  <c r="W4" i="2"/>
  <c r="AI4" i="2"/>
  <c r="Z4" i="2"/>
  <c r="AE4" i="2"/>
  <c r="V4" i="2"/>
  <c r="AH4" i="2"/>
  <c r="Y4" i="2"/>
  <c r="AD4" i="2"/>
  <c r="U4" i="2"/>
  <c r="AI252" i="2"/>
  <c r="AE252" i="2"/>
  <c r="Z252" i="2"/>
  <c r="V252" i="2"/>
  <c r="AK252" i="2"/>
  <c r="AF252" i="2"/>
  <c r="Y252" i="2"/>
  <c r="AJ252" i="2"/>
  <c r="AD252" i="2"/>
  <c r="X252" i="2"/>
  <c r="AH252" i="2"/>
  <c r="W252" i="2"/>
  <c r="AG252" i="2"/>
  <c r="U252" i="2"/>
  <c r="AC252" i="2"/>
  <c r="AJ3" i="2"/>
  <c r="AF3" i="2"/>
  <c r="W3" i="2"/>
  <c r="AI3" i="2"/>
  <c r="AE3" i="2"/>
  <c r="Z3" i="2"/>
  <c r="V3" i="2"/>
  <c r="AD3" i="2"/>
  <c r="U3" i="2"/>
  <c r="AH3" i="2"/>
  <c r="Y3" i="2"/>
  <c r="AG3" i="2"/>
  <c r="AK3" i="2"/>
  <c r="AC3" i="2"/>
  <c r="X3" i="2"/>
  <c r="AJ7" i="2"/>
  <c r="AF7" i="2"/>
  <c r="W7" i="2"/>
  <c r="AI7" i="2"/>
  <c r="AE7" i="2"/>
  <c r="Z7" i="2"/>
  <c r="V7" i="2"/>
  <c r="AD7" i="2"/>
  <c r="U7" i="2"/>
  <c r="AH7" i="2"/>
  <c r="AG7" i="2"/>
  <c r="AK7" i="2"/>
  <c r="AC7" i="2"/>
  <c r="Y7" i="2"/>
  <c r="X7" i="2"/>
  <c r="AI242" i="2"/>
  <c r="AE242" i="2"/>
  <c r="Z242" i="2"/>
  <c r="V242" i="2"/>
  <c r="AK242" i="2"/>
  <c r="AF242" i="2"/>
  <c r="Y242" i="2"/>
  <c r="AJ242" i="2"/>
  <c r="AD242" i="2"/>
  <c r="X242" i="2"/>
  <c r="AH242" i="2"/>
  <c r="W242" i="2"/>
  <c r="AG242" i="2"/>
  <c r="U242" i="2"/>
  <c r="AC242" i="2"/>
  <c r="AI258" i="2"/>
  <c r="AE258" i="2"/>
  <c r="Z258" i="2"/>
  <c r="V258" i="2"/>
  <c r="AK258" i="2"/>
  <c r="AF258" i="2"/>
  <c r="Y258" i="2"/>
  <c r="AJ258" i="2"/>
  <c r="AD258" i="2"/>
  <c r="X258" i="2"/>
  <c r="AH258" i="2"/>
  <c r="W258" i="2"/>
  <c r="AG258" i="2"/>
  <c r="U258" i="2"/>
  <c r="AC258" i="2"/>
  <c r="AJ113" i="2"/>
  <c r="AF113" i="2"/>
  <c r="W113" i="2"/>
  <c r="AI113" i="2"/>
  <c r="AE113" i="2"/>
  <c r="Z113" i="2"/>
  <c r="V113" i="2"/>
  <c r="AD113" i="2"/>
  <c r="U113" i="2"/>
  <c r="AK113" i="2"/>
  <c r="AC113" i="2"/>
  <c r="AH113" i="2"/>
  <c r="X113" i="2"/>
  <c r="AG113" i="2"/>
  <c r="Y113" i="2"/>
  <c r="AJ117" i="2"/>
  <c r="AF117" i="2"/>
  <c r="W117" i="2"/>
  <c r="AI117" i="2"/>
  <c r="AE117" i="2"/>
  <c r="Z117" i="2"/>
  <c r="V117" i="2"/>
  <c r="AD117" i="2"/>
  <c r="U117" i="2"/>
  <c r="AK117" i="2"/>
  <c r="AC117" i="2"/>
  <c r="AH117" i="2"/>
  <c r="X117" i="2"/>
  <c r="AG117" i="2"/>
  <c r="Y117" i="2"/>
  <c r="AJ121" i="2"/>
  <c r="AF121" i="2"/>
  <c r="W121" i="2"/>
  <c r="AI121" i="2"/>
  <c r="AE121" i="2"/>
  <c r="Z121" i="2"/>
  <c r="V121" i="2"/>
  <c r="AD121" i="2"/>
  <c r="U121" i="2"/>
  <c r="AK121" i="2"/>
  <c r="AC121" i="2"/>
  <c r="AH121" i="2"/>
  <c r="X121" i="2"/>
  <c r="AG121" i="2"/>
  <c r="Y121" i="2"/>
  <c r="AJ125" i="2"/>
  <c r="AF125" i="2"/>
  <c r="W125" i="2"/>
  <c r="AI125" i="2"/>
  <c r="AE125" i="2"/>
  <c r="Z125" i="2"/>
  <c r="V125" i="2"/>
  <c r="AD125" i="2"/>
  <c r="U125" i="2"/>
  <c r="AK125" i="2"/>
  <c r="AC125" i="2"/>
  <c r="AH125" i="2"/>
  <c r="X125" i="2"/>
  <c r="AG125" i="2"/>
  <c r="Y125" i="2"/>
  <c r="AJ129" i="2"/>
  <c r="AF129" i="2"/>
  <c r="W129" i="2"/>
  <c r="AI129" i="2"/>
  <c r="AE129" i="2"/>
  <c r="Z129" i="2"/>
  <c r="V129" i="2"/>
  <c r="AD129" i="2"/>
  <c r="U129" i="2"/>
  <c r="AK129" i="2"/>
  <c r="AC129" i="2"/>
  <c r="AH129" i="2"/>
  <c r="X129" i="2"/>
  <c r="AG129" i="2"/>
  <c r="Y129" i="2"/>
  <c r="AJ133" i="2"/>
  <c r="AF133" i="2"/>
  <c r="W133" i="2"/>
  <c r="AI133" i="2"/>
  <c r="AE133" i="2"/>
  <c r="Z133" i="2"/>
  <c r="V133" i="2"/>
  <c r="AD133" i="2"/>
  <c r="U133" i="2"/>
  <c r="AK133" i="2"/>
  <c r="AC133" i="2"/>
  <c r="AH133" i="2"/>
  <c r="X133" i="2"/>
  <c r="AG133" i="2"/>
  <c r="Y133" i="2"/>
  <c r="AJ137" i="2"/>
  <c r="AF137" i="2"/>
  <c r="W137" i="2"/>
  <c r="AI137" i="2"/>
  <c r="AE137" i="2"/>
  <c r="Z137" i="2"/>
  <c r="V137" i="2"/>
  <c r="AD137" i="2"/>
  <c r="U137" i="2"/>
  <c r="AK137" i="2"/>
  <c r="AC137" i="2"/>
  <c r="AH137" i="2"/>
  <c r="AG137" i="2"/>
  <c r="Y137" i="2"/>
  <c r="X137" i="2"/>
  <c r="AJ141" i="2"/>
  <c r="AF141" i="2"/>
  <c r="W141" i="2"/>
  <c r="AI141" i="2"/>
  <c r="AE141" i="2"/>
  <c r="Z141" i="2"/>
  <c r="V141" i="2"/>
  <c r="AD141" i="2"/>
  <c r="U141" i="2"/>
  <c r="AK141" i="2"/>
  <c r="AC141" i="2"/>
  <c r="AH141" i="2"/>
  <c r="AG141" i="2"/>
  <c r="Y141" i="2"/>
  <c r="X141" i="2"/>
  <c r="AJ145" i="2"/>
  <c r="AF145" i="2"/>
  <c r="W145" i="2"/>
  <c r="AI145" i="2"/>
  <c r="AE145" i="2"/>
  <c r="Z145" i="2"/>
  <c r="V145" i="2"/>
  <c r="AD145" i="2"/>
  <c r="U145" i="2"/>
  <c r="AK145" i="2"/>
  <c r="AC145" i="2"/>
  <c r="AH145" i="2"/>
  <c r="AG145" i="2"/>
  <c r="Y145" i="2"/>
  <c r="X145" i="2"/>
  <c r="AJ149" i="2"/>
  <c r="AF149" i="2"/>
  <c r="W149" i="2"/>
  <c r="AI149" i="2"/>
  <c r="AE149" i="2"/>
  <c r="Z149" i="2"/>
  <c r="V149" i="2"/>
  <c r="AD149" i="2"/>
  <c r="U149" i="2"/>
  <c r="AK149" i="2"/>
  <c r="AC149" i="2"/>
  <c r="AH149" i="2"/>
  <c r="AG149" i="2"/>
  <c r="Y149" i="2"/>
  <c r="X149" i="2"/>
  <c r="AJ153" i="2"/>
  <c r="AF153" i="2"/>
  <c r="W153" i="2"/>
  <c r="AI153" i="2"/>
  <c r="AE153" i="2"/>
  <c r="Z153" i="2"/>
  <c r="V153" i="2"/>
  <c r="AD153" i="2"/>
  <c r="U153" i="2"/>
  <c r="AK153" i="2"/>
  <c r="AC153" i="2"/>
  <c r="AH153" i="2"/>
  <c r="AG153" i="2"/>
  <c r="Y153" i="2"/>
  <c r="X153" i="2"/>
  <c r="AK218" i="2"/>
  <c r="AG218" i="2"/>
  <c r="AC218" i="2"/>
  <c r="X218" i="2"/>
  <c r="AI218" i="2"/>
  <c r="AD218" i="2"/>
  <c r="W218" i="2"/>
  <c r="AH218" i="2"/>
  <c r="V218" i="2"/>
  <c r="AF218" i="2"/>
  <c r="U218" i="2"/>
  <c r="AE218" i="2"/>
  <c r="AJ218" i="2"/>
  <c r="Z218" i="2"/>
  <c r="Y218" i="2"/>
  <c r="AI237" i="2"/>
  <c r="AE237" i="2"/>
  <c r="Z237" i="2"/>
  <c r="V237" i="2"/>
  <c r="AK237" i="2"/>
  <c r="AF237" i="2"/>
  <c r="Y237" i="2"/>
  <c r="AJ237" i="2"/>
  <c r="AD237" i="2"/>
  <c r="X237" i="2"/>
  <c r="AC237" i="2"/>
  <c r="W237" i="2"/>
  <c r="U237" i="2"/>
  <c r="AH237" i="2"/>
  <c r="AG237" i="2"/>
  <c r="AI245" i="2"/>
  <c r="AE245" i="2"/>
  <c r="Z245" i="2"/>
  <c r="V245" i="2"/>
  <c r="AK245" i="2"/>
  <c r="AF245" i="2"/>
  <c r="Y245" i="2"/>
  <c r="AJ245" i="2"/>
  <c r="AD245" i="2"/>
  <c r="X245" i="2"/>
  <c r="AC245" i="2"/>
  <c r="W245" i="2"/>
  <c r="U245" i="2"/>
  <c r="AH245" i="2"/>
  <c r="AG245" i="2"/>
  <c r="AI253" i="2"/>
  <c r="AE253" i="2"/>
  <c r="Z253" i="2"/>
  <c r="V253" i="2"/>
  <c r="AK253" i="2"/>
  <c r="AF253" i="2"/>
  <c r="Y253" i="2"/>
  <c r="AJ253" i="2"/>
  <c r="AD253" i="2"/>
  <c r="X253" i="2"/>
  <c r="AC253" i="2"/>
  <c r="W253" i="2"/>
  <c r="U253" i="2"/>
  <c r="AH253" i="2"/>
  <c r="AG253" i="2"/>
  <c r="AK261" i="2"/>
  <c r="AJ261" i="2"/>
  <c r="AI261" i="2"/>
  <c r="AE261" i="2"/>
  <c r="Z261" i="2"/>
  <c r="V261" i="2"/>
  <c r="AF261" i="2"/>
  <c r="Y261" i="2"/>
  <c r="AD261" i="2"/>
  <c r="X261" i="2"/>
  <c r="AC261" i="2"/>
  <c r="W261" i="2"/>
  <c r="U261" i="2"/>
  <c r="AH261" i="2"/>
  <c r="AG261" i="2"/>
  <c r="AJ158" i="2"/>
  <c r="AF158" i="2"/>
  <c r="W158" i="2"/>
  <c r="AI158" i="2"/>
  <c r="AE158" i="2"/>
  <c r="Z158" i="2"/>
  <c r="V158" i="2"/>
  <c r="AD158" i="2"/>
  <c r="U158" i="2"/>
  <c r="AK158" i="2"/>
  <c r="AC158" i="2"/>
  <c r="Y158" i="2"/>
  <c r="X158" i="2"/>
  <c r="AH158" i="2"/>
  <c r="AG158" i="2"/>
  <c r="AJ162" i="2"/>
  <c r="AF162" i="2"/>
  <c r="W162" i="2"/>
  <c r="AI162" i="2"/>
  <c r="AE162" i="2"/>
  <c r="Z162" i="2"/>
  <c r="V162" i="2"/>
  <c r="AD162" i="2"/>
  <c r="U162" i="2"/>
  <c r="AK162" i="2"/>
  <c r="AC162" i="2"/>
  <c r="Y162" i="2"/>
  <c r="X162" i="2"/>
  <c r="AH162" i="2"/>
  <c r="AG162" i="2"/>
  <c r="AJ166" i="2"/>
  <c r="AF166" i="2"/>
  <c r="W166" i="2"/>
  <c r="AI166" i="2"/>
  <c r="AE166" i="2"/>
  <c r="Z166" i="2"/>
  <c r="V166" i="2"/>
  <c r="AD166" i="2"/>
  <c r="U166" i="2"/>
  <c r="AK166" i="2"/>
  <c r="AC166" i="2"/>
  <c r="Y166" i="2"/>
  <c r="X166" i="2"/>
  <c r="AH166" i="2"/>
  <c r="AG166" i="2"/>
  <c r="AJ170" i="2"/>
  <c r="AF170" i="2"/>
  <c r="W170" i="2"/>
  <c r="AI170" i="2"/>
  <c r="AE170" i="2"/>
  <c r="Z170" i="2"/>
  <c r="V170" i="2"/>
  <c r="AD170" i="2"/>
  <c r="U170" i="2"/>
  <c r="AK170" i="2"/>
  <c r="AC170" i="2"/>
  <c r="Y170" i="2"/>
  <c r="X170" i="2"/>
  <c r="AH170" i="2"/>
  <c r="AG170" i="2"/>
  <c r="AJ174" i="2"/>
  <c r="AF174" i="2"/>
  <c r="W174" i="2"/>
  <c r="AI174" i="2"/>
  <c r="AE174" i="2"/>
  <c r="Z174" i="2"/>
  <c r="V174" i="2"/>
  <c r="AD174" i="2"/>
  <c r="U174" i="2"/>
  <c r="AK174" i="2"/>
  <c r="AC174" i="2"/>
  <c r="Y174" i="2"/>
  <c r="X174" i="2"/>
  <c r="AH174" i="2"/>
  <c r="AG174" i="2"/>
  <c r="AJ178" i="2"/>
  <c r="AF178" i="2"/>
  <c r="W178" i="2"/>
  <c r="AI178" i="2"/>
  <c r="AE178" i="2"/>
  <c r="Z178" i="2"/>
  <c r="V178" i="2"/>
  <c r="AD178" i="2"/>
  <c r="U178" i="2"/>
  <c r="AK178" i="2"/>
  <c r="AC178" i="2"/>
  <c r="Y178" i="2"/>
  <c r="X178" i="2"/>
  <c r="AH178" i="2"/>
  <c r="AG178" i="2"/>
  <c r="AJ182" i="2"/>
  <c r="AF182" i="2"/>
  <c r="W182" i="2"/>
  <c r="AI182" i="2"/>
  <c r="AE182" i="2"/>
  <c r="Z182" i="2"/>
  <c r="V182" i="2"/>
  <c r="AD182" i="2"/>
  <c r="U182" i="2"/>
  <c r="AK182" i="2"/>
  <c r="AC182" i="2"/>
  <c r="Y182" i="2"/>
  <c r="X182" i="2"/>
  <c r="AH182" i="2"/>
  <c r="AG182" i="2"/>
  <c r="AJ186" i="2"/>
  <c r="AF186" i="2"/>
  <c r="W186" i="2"/>
  <c r="AI186" i="2"/>
  <c r="AE186" i="2"/>
  <c r="Z186" i="2"/>
  <c r="V186" i="2"/>
  <c r="AD186" i="2"/>
  <c r="U186" i="2"/>
  <c r="AK186" i="2"/>
  <c r="AC186" i="2"/>
  <c r="Y186" i="2"/>
  <c r="X186" i="2"/>
  <c r="AH186" i="2"/>
  <c r="AG186" i="2"/>
  <c r="AJ190" i="2"/>
  <c r="AF190" i="2"/>
  <c r="W190" i="2"/>
  <c r="AI190" i="2"/>
  <c r="AE190" i="2"/>
  <c r="Z190" i="2"/>
  <c r="V190" i="2"/>
  <c r="AD190" i="2"/>
  <c r="U190" i="2"/>
  <c r="AK190" i="2"/>
  <c r="AC190" i="2"/>
  <c r="Y190" i="2"/>
  <c r="X190" i="2"/>
  <c r="AH190" i="2"/>
  <c r="AG190" i="2"/>
  <c r="AJ194" i="2"/>
  <c r="AF194" i="2"/>
  <c r="W194" i="2"/>
  <c r="AI194" i="2"/>
  <c r="AE194" i="2"/>
  <c r="Z194" i="2"/>
  <c r="V194" i="2"/>
  <c r="AD194" i="2"/>
  <c r="U194" i="2"/>
  <c r="AK194" i="2"/>
  <c r="AC194" i="2"/>
  <c r="Y194" i="2"/>
  <c r="X194" i="2"/>
  <c r="AH194" i="2"/>
  <c r="AG194" i="2"/>
  <c r="AJ198" i="2"/>
  <c r="AF198" i="2"/>
  <c r="W198" i="2"/>
  <c r="AI198" i="2"/>
  <c r="AE198" i="2"/>
  <c r="Z198" i="2"/>
  <c r="V198" i="2"/>
  <c r="AD198" i="2"/>
  <c r="U198" i="2"/>
  <c r="AK198" i="2"/>
  <c r="AC198" i="2"/>
  <c r="Y198" i="2"/>
  <c r="X198" i="2"/>
  <c r="AH198" i="2"/>
  <c r="AG198" i="2"/>
  <c r="AJ202" i="2"/>
  <c r="AF202" i="2"/>
  <c r="W202" i="2"/>
  <c r="AI202" i="2"/>
  <c r="AE202" i="2"/>
  <c r="Z202" i="2"/>
  <c r="V202" i="2"/>
  <c r="AD202" i="2"/>
  <c r="U202" i="2"/>
  <c r="AK202" i="2"/>
  <c r="AC202" i="2"/>
  <c r="Y202" i="2"/>
  <c r="X202" i="2"/>
  <c r="AH202" i="2"/>
  <c r="AG202" i="2"/>
  <c r="AJ206" i="2"/>
  <c r="AF206" i="2"/>
  <c r="W206" i="2"/>
  <c r="AI206" i="2"/>
  <c r="AE206" i="2"/>
  <c r="Z206" i="2"/>
  <c r="V206" i="2"/>
  <c r="AD206" i="2"/>
  <c r="U206" i="2"/>
  <c r="AK206" i="2"/>
  <c r="AC206" i="2"/>
  <c r="Y206" i="2"/>
  <c r="X206" i="2"/>
  <c r="AH206" i="2"/>
  <c r="AG206" i="2"/>
  <c r="AJ210" i="2"/>
  <c r="AF210" i="2"/>
  <c r="W210" i="2"/>
  <c r="AI210" i="2"/>
  <c r="AE210" i="2"/>
  <c r="Z210" i="2"/>
  <c r="V210" i="2"/>
  <c r="AD210" i="2"/>
  <c r="U210" i="2"/>
  <c r="AK210" i="2"/>
  <c r="AC210" i="2"/>
  <c r="Y210" i="2"/>
  <c r="X210" i="2"/>
  <c r="AH210" i="2"/>
  <c r="AG210" i="2"/>
  <c r="AJ214" i="2"/>
  <c r="AF214" i="2"/>
  <c r="W214" i="2"/>
  <c r="AI214" i="2"/>
  <c r="AE214" i="2"/>
  <c r="Z214" i="2"/>
  <c r="V214" i="2"/>
  <c r="AD214" i="2"/>
  <c r="U214" i="2"/>
  <c r="AK214" i="2"/>
  <c r="AC214" i="2"/>
  <c r="Y214" i="2"/>
  <c r="X214" i="2"/>
  <c r="AH214" i="2"/>
  <c r="AG214" i="2"/>
  <c r="AK221" i="2"/>
  <c r="AG221" i="2"/>
  <c r="AC221" i="2"/>
  <c r="X221" i="2"/>
  <c r="AJ221" i="2"/>
  <c r="AF221" i="2"/>
  <c r="W221" i="2"/>
  <c r="AE221" i="2"/>
  <c r="V221" i="2"/>
  <c r="AD221" i="2"/>
  <c r="U221" i="2"/>
  <c r="Z221" i="2"/>
  <c r="Y221" i="2"/>
  <c r="AI221" i="2"/>
  <c r="AH221" i="2"/>
  <c r="AK225" i="2"/>
  <c r="AG225" i="2"/>
  <c r="AC225" i="2"/>
  <c r="X225" i="2"/>
  <c r="AJ225" i="2"/>
  <c r="AF225" i="2"/>
  <c r="W225" i="2"/>
  <c r="AE225" i="2"/>
  <c r="V225" i="2"/>
  <c r="AD225" i="2"/>
  <c r="U225" i="2"/>
  <c r="Z225" i="2"/>
  <c r="Y225" i="2"/>
  <c r="AI225" i="2"/>
  <c r="AH225" i="2"/>
  <c r="AK229" i="2"/>
  <c r="AG229" i="2"/>
  <c r="AC229" i="2"/>
  <c r="X229" i="2"/>
  <c r="AJ229" i="2"/>
  <c r="AF229" i="2"/>
  <c r="W229" i="2"/>
  <c r="AE229" i="2"/>
  <c r="V229" i="2"/>
  <c r="AD229" i="2"/>
  <c r="U229" i="2"/>
  <c r="Z229" i="2"/>
  <c r="Y229" i="2"/>
  <c r="AI229" i="2"/>
  <c r="AH229" i="2"/>
  <c r="AK265" i="2"/>
  <c r="AG265" i="2"/>
  <c r="AC265" i="2"/>
  <c r="X265" i="2"/>
  <c r="AJ265" i="2"/>
  <c r="AF265" i="2"/>
  <c r="W265" i="2"/>
  <c r="AI265" i="2"/>
  <c r="Z265" i="2"/>
  <c r="AD265" i="2"/>
  <c r="Y265" i="2"/>
  <c r="V265" i="2"/>
  <c r="U265" i="2"/>
  <c r="AH265" i="2"/>
  <c r="AE265" i="2"/>
  <c r="AK269" i="2"/>
  <c r="AG269" i="2"/>
  <c r="AC269" i="2"/>
  <c r="X269" i="2"/>
  <c r="AJ269" i="2"/>
  <c r="AF269" i="2"/>
  <c r="W269" i="2"/>
  <c r="AI269" i="2"/>
  <c r="Z269" i="2"/>
  <c r="AD269" i="2"/>
  <c r="Y269" i="2"/>
  <c r="V269" i="2"/>
  <c r="U269" i="2"/>
  <c r="AH269" i="2"/>
  <c r="AE269" i="2"/>
  <c r="AK273" i="2"/>
  <c r="AG273" i="2"/>
  <c r="AC273" i="2"/>
  <c r="X273" i="2"/>
  <c r="AJ273" i="2"/>
  <c r="AF273" i="2"/>
  <c r="W273" i="2"/>
  <c r="AI273" i="2"/>
  <c r="Z273" i="2"/>
  <c r="AD273" i="2"/>
  <c r="Y273" i="2"/>
  <c r="V273" i="2"/>
  <c r="U273" i="2"/>
  <c r="AH273" i="2"/>
  <c r="AE273" i="2"/>
  <c r="AK277" i="2"/>
  <c r="AG277" i="2"/>
  <c r="AC277" i="2"/>
  <c r="X277" i="2"/>
  <c r="AJ277" i="2"/>
  <c r="AF277" i="2"/>
  <c r="W277" i="2"/>
  <c r="AI277" i="2"/>
  <c r="Z277" i="2"/>
  <c r="AD277" i="2"/>
  <c r="Y277" i="2"/>
  <c r="V277" i="2"/>
  <c r="U277" i="2"/>
  <c r="AH277" i="2"/>
  <c r="AE277" i="2"/>
  <c r="AK281" i="2"/>
  <c r="AG281" i="2"/>
  <c r="AC281" i="2"/>
  <c r="X281" i="2"/>
  <c r="AJ281" i="2"/>
  <c r="AF281" i="2"/>
  <c r="W281" i="2"/>
  <c r="AI281" i="2"/>
  <c r="Z281" i="2"/>
  <c r="AD281" i="2"/>
  <c r="Y281" i="2"/>
  <c r="V281" i="2"/>
  <c r="U281" i="2"/>
  <c r="AH281" i="2"/>
  <c r="AE281" i="2"/>
  <c r="AH105" i="2"/>
  <c r="AD105" i="2"/>
  <c r="Y105" i="2"/>
  <c r="U105" i="2"/>
  <c r="AK105" i="2"/>
  <c r="AG105" i="2"/>
  <c r="AC105" i="2"/>
  <c r="X105" i="2"/>
  <c r="AJ105" i="2"/>
  <c r="V105" i="2"/>
  <c r="AI105" i="2"/>
  <c r="Z105" i="2"/>
  <c r="AF105" i="2"/>
  <c r="W105" i="2"/>
  <c r="AE105" i="2"/>
  <c r="AH97" i="2"/>
  <c r="AD97" i="2"/>
  <c r="Y97" i="2"/>
  <c r="U97" i="2"/>
  <c r="AK97" i="2"/>
  <c r="AG97" i="2"/>
  <c r="AC97" i="2"/>
  <c r="X97" i="2"/>
  <c r="AJ97" i="2"/>
  <c r="W97" i="2"/>
  <c r="V97" i="2"/>
  <c r="AI97" i="2"/>
  <c r="Z97" i="2"/>
  <c r="AF97" i="2"/>
  <c r="AE97" i="2"/>
  <c r="AH89" i="2"/>
  <c r="AD89" i="2"/>
  <c r="Y89" i="2"/>
  <c r="U89" i="2"/>
  <c r="AK89" i="2"/>
  <c r="AG89" i="2"/>
  <c r="AC89" i="2"/>
  <c r="X89" i="2"/>
  <c r="AJ89" i="2"/>
  <c r="AF89" i="2"/>
  <c r="AE89" i="2"/>
  <c r="AI89" i="2"/>
  <c r="Z89" i="2"/>
  <c r="W89" i="2"/>
  <c r="V89" i="2"/>
  <c r="AH81" i="2"/>
  <c r="AD81" i="2"/>
  <c r="Y81" i="2"/>
  <c r="U81" i="2"/>
  <c r="AK81" i="2"/>
  <c r="AG81" i="2"/>
  <c r="AC81" i="2"/>
  <c r="X81" i="2"/>
  <c r="AJ81" i="2"/>
  <c r="W81" i="2"/>
  <c r="AI81" i="2"/>
  <c r="Z81" i="2"/>
  <c r="AF81" i="2"/>
  <c r="AE81" i="2"/>
  <c r="V81" i="2"/>
  <c r="AH73" i="2"/>
  <c r="AD73" i="2"/>
  <c r="Y73" i="2"/>
  <c r="U73" i="2"/>
  <c r="AK73" i="2"/>
  <c r="AG73" i="2"/>
  <c r="AC73" i="2"/>
  <c r="X73" i="2"/>
  <c r="AJ73" i="2"/>
  <c r="AF73" i="2"/>
  <c r="W73" i="2"/>
  <c r="AE73" i="2"/>
  <c r="AI73" i="2"/>
  <c r="Z73" i="2"/>
  <c r="V73" i="2"/>
  <c r="AH65" i="2"/>
  <c r="AD65" i="2"/>
  <c r="Y65" i="2"/>
  <c r="U65" i="2"/>
  <c r="AK65" i="2"/>
  <c r="AG65" i="2"/>
  <c r="AC65" i="2"/>
  <c r="X65" i="2"/>
  <c r="AJ65" i="2"/>
  <c r="AF65" i="2"/>
  <c r="W65" i="2"/>
  <c r="AE65" i="2"/>
  <c r="AI65" i="2"/>
  <c r="Z65" i="2"/>
  <c r="V65" i="2"/>
  <c r="AH57" i="2"/>
  <c r="AD57" i="2"/>
  <c r="Y57" i="2"/>
  <c r="U57" i="2"/>
  <c r="AK57" i="2"/>
  <c r="AG57" i="2"/>
  <c r="AC57" i="2"/>
  <c r="X57" i="2"/>
  <c r="AJ57" i="2"/>
  <c r="W57" i="2"/>
  <c r="V57" i="2"/>
  <c r="AI57" i="2"/>
  <c r="Z57" i="2"/>
  <c r="AF57" i="2"/>
  <c r="AE57" i="2"/>
  <c r="AH49" i="2"/>
  <c r="AD49" i="2"/>
  <c r="Y49" i="2"/>
  <c r="U49" i="2"/>
  <c r="AK49" i="2"/>
  <c r="AG49" i="2"/>
  <c r="AC49" i="2"/>
  <c r="X49" i="2"/>
  <c r="AJ49" i="2"/>
  <c r="W49" i="2"/>
  <c r="V49" i="2"/>
  <c r="AI49" i="2"/>
  <c r="Z49" i="2"/>
  <c r="AF49" i="2"/>
  <c r="AE49" i="2"/>
  <c r="AH41" i="2"/>
  <c r="AD41" i="2"/>
  <c r="Y41" i="2"/>
  <c r="U41" i="2"/>
  <c r="AK41" i="2"/>
  <c r="AG41" i="2"/>
  <c r="AC41" i="2"/>
  <c r="X41" i="2"/>
  <c r="AJ41" i="2"/>
  <c r="W41" i="2"/>
  <c r="V41" i="2"/>
  <c r="AI41" i="2"/>
  <c r="Z41" i="2"/>
  <c r="AF41" i="2"/>
  <c r="AE41" i="2"/>
  <c r="AH33" i="2"/>
  <c r="AD33" i="2"/>
  <c r="Y33" i="2"/>
  <c r="U33" i="2"/>
  <c r="AK33" i="2"/>
  <c r="AG33" i="2"/>
  <c r="AC33" i="2"/>
  <c r="X33" i="2"/>
  <c r="AJ33" i="2"/>
  <c r="AF33" i="2"/>
  <c r="W33" i="2"/>
  <c r="V33" i="2"/>
  <c r="AI33" i="2"/>
  <c r="Z33" i="2"/>
  <c r="AE33" i="2"/>
  <c r="AH25" i="2"/>
  <c r="AD25" i="2"/>
  <c r="Y25" i="2"/>
  <c r="U25" i="2"/>
  <c r="AK25" i="2"/>
  <c r="AG25" i="2"/>
  <c r="AC25" i="2"/>
  <c r="X25" i="2"/>
  <c r="AJ25" i="2"/>
  <c r="V25" i="2"/>
  <c r="AI25" i="2"/>
  <c r="Z25" i="2"/>
  <c r="AF25" i="2"/>
  <c r="W25" i="2"/>
  <c r="AE25" i="2"/>
  <c r="AH17" i="2"/>
  <c r="AD17" i="2"/>
  <c r="Y17" i="2"/>
  <c r="U17" i="2"/>
  <c r="AK17" i="2"/>
  <c r="AG17" i="2"/>
  <c r="AC17" i="2"/>
  <c r="X17" i="2"/>
  <c r="AJ17" i="2"/>
  <c r="AF17" i="2"/>
  <c r="AE17" i="2"/>
  <c r="AI17" i="2"/>
  <c r="Z17" i="2"/>
  <c r="W17" i="2"/>
  <c r="V17" i="2"/>
  <c r="AH13" i="2"/>
  <c r="AD13" i="2"/>
  <c r="Y13" i="2"/>
  <c r="U13" i="2"/>
  <c r="AK13" i="2"/>
  <c r="AG13" i="2"/>
  <c r="AC13" i="2"/>
  <c r="X13" i="2"/>
  <c r="AJ13" i="2"/>
  <c r="W13" i="2"/>
  <c r="AE13" i="2"/>
  <c r="AI13" i="2"/>
  <c r="Z13" i="2"/>
  <c r="AF13" i="2"/>
  <c r="V13" i="2"/>
  <c r="AH9" i="2"/>
  <c r="AD9" i="2"/>
  <c r="Y9" i="2"/>
  <c r="U9" i="2"/>
  <c r="AK9" i="2"/>
  <c r="AG9" i="2"/>
  <c r="AC9" i="2"/>
  <c r="X9" i="2"/>
  <c r="AJ9" i="2"/>
  <c r="AF9" i="2"/>
  <c r="AE9" i="2"/>
  <c r="AI9" i="2"/>
  <c r="Z9" i="2"/>
  <c r="W9" i="2"/>
  <c r="V9" i="2"/>
  <c r="AI2" i="2"/>
  <c r="AE2" i="2"/>
  <c r="Z2" i="2"/>
  <c r="V2" i="2"/>
  <c r="E4" i="2"/>
  <c r="E7" i="1" s="1"/>
  <c r="AH2" i="2"/>
  <c r="AD2" i="2"/>
  <c r="Y2" i="2"/>
  <c r="U2" i="2"/>
  <c r="AJ2" i="2"/>
  <c r="AF2" i="2"/>
  <c r="W2" i="2"/>
  <c r="AG2" i="2"/>
  <c r="X2" i="2"/>
  <c r="AK2" i="2"/>
  <c r="AC2" i="2"/>
  <c r="AH5" i="2"/>
  <c r="AD5" i="2"/>
  <c r="Y5" i="2"/>
  <c r="U5" i="2"/>
  <c r="AK5" i="2"/>
  <c r="AG5" i="2"/>
  <c r="AC5" i="2"/>
  <c r="X5" i="2"/>
  <c r="AF5" i="2"/>
  <c r="W5" i="2"/>
  <c r="AE5" i="2"/>
  <c r="V5" i="2"/>
  <c r="AJ5" i="2"/>
  <c r="AI5" i="2"/>
  <c r="Z5" i="2"/>
  <c r="AI250" i="2"/>
  <c r="AE250" i="2"/>
  <c r="Z250" i="2"/>
  <c r="V250" i="2"/>
  <c r="AK250" i="2"/>
  <c r="AF250" i="2"/>
  <c r="Y250" i="2"/>
  <c r="AJ250" i="2"/>
  <c r="AD250" i="2"/>
  <c r="X250" i="2"/>
  <c r="AH250" i="2"/>
  <c r="W250" i="2"/>
  <c r="AG250" i="2"/>
  <c r="U250" i="2"/>
  <c r="AC250" i="2"/>
  <c r="AJ115" i="2"/>
  <c r="AF115" i="2"/>
  <c r="W115" i="2"/>
  <c r="AI115" i="2"/>
  <c r="AE115" i="2"/>
  <c r="Z115" i="2"/>
  <c r="V115" i="2"/>
  <c r="AD115" i="2"/>
  <c r="U115" i="2"/>
  <c r="AK115" i="2"/>
  <c r="AC115" i="2"/>
  <c r="AH115" i="2"/>
  <c r="X115" i="2"/>
  <c r="AG115" i="2"/>
  <c r="Y115" i="2"/>
  <c r="AJ123" i="2"/>
  <c r="AF123" i="2"/>
  <c r="W123" i="2"/>
  <c r="AI123" i="2"/>
  <c r="AE123" i="2"/>
  <c r="Z123" i="2"/>
  <c r="V123" i="2"/>
  <c r="AD123" i="2"/>
  <c r="U123" i="2"/>
  <c r="AK123" i="2"/>
  <c r="AC123" i="2"/>
  <c r="AH123" i="2"/>
  <c r="X123" i="2"/>
  <c r="AG123" i="2"/>
  <c r="Y123" i="2"/>
  <c r="AJ131" i="2"/>
  <c r="AF131" i="2"/>
  <c r="W131" i="2"/>
  <c r="AI131" i="2"/>
  <c r="AE131" i="2"/>
  <c r="Z131" i="2"/>
  <c r="V131" i="2"/>
  <c r="AD131" i="2"/>
  <c r="U131" i="2"/>
  <c r="AK131" i="2"/>
  <c r="AC131" i="2"/>
  <c r="AH131" i="2"/>
  <c r="X131" i="2"/>
  <c r="AG131" i="2"/>
  <c r="Y131" i="2"/>
  <c r="AJ135" i="2"/>
  <c r="AF135" i="2"/>
  <c r="W135" i="2"/>
  <c r="AI135" i="2"/>
  <c r="AE135" i="2"/>
  <c r="Z135" i="2"/>
  <c r="V135" i="2"/>
  <c r="AD135" i="2"/>
  <c r="U135" i="2"/>
  <c r="AK135" i="2"/>
  <c r="AC135" i="2"/>
  <c r="AH135" i="2"/>
  <c r="AG135" i="2"/>
  <c r="Y135" i="2"/>
  <c r="X135" i="2"/>
  <c r="AJ139" i="2"/>
  <c r="AF139" i="2"/>
  <c r="W139" i="2"/>
  <c r="AI139" i="2"/>
  <c r="AE139" i="2"/>
  <c r="Z139" i="2"/>
  <c r="V139" i="2"/>
  <c r="AD139" i="2"/>
  <c r="U139" i="2"/>
  <c r="AK139" i="2"/>
  <c r="AC139" i="2"/>
  <c r="AH139" i="2"/>
  <c r="X139" i="2"/>
  <c r="AG139" i="2"/>
  <c r="Y139" i="2"/>
  <c r="AJ143" i="2"/>
  <c r="AF143" i="2"/>
  <c r="W143" i="2"/>
  <c r="AI143" i="2"/>
  <c r="AE143" i="2"/>
  <c r="Z143" i="2"/>
  <c r="V143" i="2"/>
  <c r="AD143" i="2"/>
  <c r="U143" i="2"/>
  <c r="AK143" i="2"/>
  <c r="AC143" i="2"/>
  <c r="AH143" i="2"/>
  <c r="AG143" i="2"/>
  <c r="Y143" i="2"/>
  <c r="X143" i="2"/>
  <c r="AJ147" i="2"/>
  <c r="AF147" i="2"/>
  <c r="W147" i="2"/>
  <c r="AI147" i="2"/>
  <c r="AE147" i="2"/>
  <c r="Z147" i="2"/>
  <c r="V147" i="2"/>
  <c r="AD147" i="2"/>
  <c r="U147" i="2"/>
  <c r="AK147" i="2"/>
  <c r="AC147" i="2"/>
  <c r="AH147" i="2"/>
  <c r="AG147" i="2"/>
  <c r="Y147" i="2"/>
  <c r="X147" i="2"/>
  <c r="AJ151" i="2"/>
  <c r="AF151" i="2"/>
  <c r="W151" i="2"/>
  <c r="AI151" i="2"/>
  <c r="AE151" i="2"/>
  <c r="Z151" i="2"/>
  <c r="V151" i="2"/>
  <c r="AD151" i="2"/>
  <c r="U151" i="2"/>
  <c r="AK151" i="2"/>
  <c r="AC151" i="2"/>
  <c r="AH151" i="2"/>
  <c r="AG151" i="2"/>
  <c r="Y151" i="2"/>
  <c r="X151" i="2"/>
  <c r="AK216" i="2"/>
  <c r="AG216" i="2"/>
  <c r="AC216" i="2"/>
  <c r="X216" i="2"/>
  <c r="AI216" i="2"/>
  <c r="AD216" i="2"/>
  <c r="W216" i="2"/>
  <c r="AH216" i="2"/>
  <c r="V216" i="2"/>
  <c r="AF216" i="2"/>
  <c r="U216" i="2"/>
  <c r="AE216" i="2"/>
  <c r="Z216" i="2"/>
  <c r="Y216" i="2"/>
  <c r="AJ216" i="2"/>
  <c r="AI233" i="2"/>
  <c r="AE233" i="2"/>
  <c r="Z233" i="2"/>
  <c r="V233" i="2"/>
  <c r="AK233" i="2"/>
  <c r="AF233" i="2"/>
  <c r="Y233" i="2"/>
  <c r="AJ233" i="2"/>
  <c r="AD233" i="2"/>
  <c r="X233" i="2"/>
  <c r="AC233" i="2"/>
  <c r="W233" i="2"/>
  <c r="U233" i="2"/>
  <c r="AH233" i="2"/>
  <c r="AG233" i="2"/>
  <c r="AI241" i="2"/>
  <c r="AE241" i="2"/>
  <c r="Z241" i="2"/>
  <c r="V241" i="2"/>
  <c r="AK241" i="2"/>
  <c r="AF241" i="2"/>
  <c r="Y241" i="2"/>
  <c r="AJ241" i="2"/>
  <c r="AD241" i="2"/>
  <c r="X241" i="2"/>
  <c r="AC241" i="2"/>
  <c r="W241" i="2"/>
  <c r="U241" i="2"/>
  <c r="AH241" i="2"/>
  <c r="AG241" i="2"/>
  <c r="AI249" i="2"/>
  <c r="AE249" i="2"/>
  <c r="Z249" i="2"/>
  <c r="V249" i="2"/>
  <c r="AK249" i="2"/>
  <c r="AF249" i="2"/>
  <c r="Y249" i="2"/>
  <c r="AJ249" i="2"/>
  <c r="AD249" i="2"/>
  <c r="X249" i="2"/>
  <c r="AC249" i="2"/>
  <c r="W249" i="2"/>
  <c r="U249" i="2"/>
  <c r="AH249" i="2"/>
  <c r="AG249" i="2"/>
  <c r="AI257" i="2"/>
  <c r="AE257" i="2"/>
  <c r="Z257" i="2"/>
  <c r="V257" i="2"/>
  <c r="AK257" i="2"/>
  <c r="AF257" i="2"/>
  <c r="Y257" i="2"/>
  <c r="AJ257" i="2"/>
  <c r="AD257" i="2"/>
  <c r="X257" i="2"/>
  <c r="AC257" i="2"/>
  <c r="W257" i="2"/>
  <c r="U257" i="2"/>
  <c r="AH257" i="2"/>
  <c r="AG257" i="2"/>
  <c r="AJ156" i="2"/>
  <c r="AF156" i="2"/>
  <c r="W156" i="2"/>
  <c r="AI156" i="2"/>
  <c r="AE156" i="2"/>
  <c r="Z156" i="2"/>
  <c r="V156" i="2"/>
  <c r="AD156" i="2"/>
  <c r="U156" i="2"/>
  <c r="AK156" i="2"/>
  <c r="AC156" i="2"/>
  <c r="Y156" i="2"/>
  <c r="X156" i="2"/>
  <c r="AH156" i="2"/>
  <c r="AG156" i="2"/>
  <c r="AJ160" i="2"/>
  <c r="AF160" i="2"/>
  <c r="W160" i="2"/>
  <c r="AI160" i="2"/>
  <c r="AE160" i="2"/>
  <c r="Z160" i="2"/>
  <c r="V160" i="2"/>
  <c r="AD160" i="2"/>
  <c r="U160" i="2"/>
  <c r="AK160" i="2"/>
  <c r="AC160" i="2"/>
  <c r="Y160" i="2"/>
  <c r="X160" i="2"/>
  <c r="AH160" i="2"/>
  <c r="AG160" i="2"/>
  <c r="AJ208" i="2"/>
  <c r="AF208" i="2"/>
  <c r="W208" i="2"/>
  <c r="AI208" i="2"/>
  <c r="AE208" i="2"/>
  <c r="Z208" i="2"/>
  <c r="V208" i="2"/>
  <c r="AD208" i="2"/>
  <c r="U208" i="2"/>
  <c r="AK208" i="2"/>
  <c r="AC208" i="2"/>
  <c r="Y208" i="2"/>
  <c r="X208" i="2"/>
  <c r="AH208" i="2"/>
  <c r="AG208" i="2"/>
  <c r="AK219" i="2"/>
  <c r="AG219" i="2"/>
  <c r="AC219" i="2"/>
  <c r="X219" i="2"/>
  <c r="AJ219" i="2"/>
  <c r="AF219" i="2"/>
  <c r="AE219" i="2"/>
  <c r="W219" i="2"/>
  <c r="AD219" i="2"/>
  <c r="V219" i="2"/>
  <c r="Z219" i="2"/>
  <c r="Y219" i="2"/>
  <c r="U219" i="2"/>
  <c r="AI219" i="2"/>
  <c r="AH219" i="2"/>
  <c r="AK227" i="2"/>
  <c r="AG227" i="2"/>
  <c r="AC227" i="2"/>
  <c r="X227" i="2"/>
  <c r="AJ227" i="2"/>
  <c r="AF227" i="2"/>
  <c r="W227" i="2"/>
  <c r="AE227" i="2"/>
  <c r="V227" i="2"/>
  <c r="AD227" i="2"/>
  <c r="U227" i="2"/>
  <c r="Z227" i="2"/>
  <c r="Y227" i="2"/>
  <c r="AI227" i="2"/>
  <c r="AH227" i="2"/>
  <c r="AK271" i="2"/>
  <c r="AG271" i="2"/>
  <c r="AC271" i="2"/>
  <c r="X271" i="2"/>
  <c r="AJ271" i="2"/>
  <c r="AF271" i="2"/>
  <c r="W271" i="2"/>
  <c r="AI271" i="2"/>
  <c r="Z271" i="2"/>
  <c r="AD271" i="2"/>
  <c r="Y271" i="2"/>
  <c r="AH271" i="2"/>
  <c r="AE271" i="2"/>
  <c r="V271" i="2"/>
  <c r="U271" i="2"/>
  <c r="AK275" i="2"/>
  <c r="AG275" i="2"/>
  <c r="AC275" i="2"/>
  <c r="X275" i="2"/>
  <c r="AJ275" i="2"/>
  <c r="AF275" i="2"/>
  <c r="W275" i="2"/>
  <c r="AI275" i="2"/>
  <c r="Z275" i="2"/>
  <c r="AD275" i="2"/>
  <c r="Y275" i="2"/>
  <c r="AH275" i="2"/>
  <c r="AE275" i="2"/>
  <c r="V275" i="2"/>
  <c r="U275" i="2"/>
  <c r="AH104" i="2"/>
  <c r="AD104" i="2"/>
  <c r="Y104" i="2"/>
  <c r="U104" i="2"/>
  <c r="AK104" i="2"/>
  <c r="AG104" i="2"/>
  <c r="AC104" i="2"/>
  <c r="X104" i="2"/>
  <c r="AJ104" i="2"/>
  <c r="V104" i="2"/>
  <c r="AI104" i="2"/>
  <c r="Z104" i="2"/>
  <c r="AF104" i="2"/>
  <c r="W104" i="2"/>
  <c r="AE104" i="2"/>
  <c r="AH92" i="2"/>
  <c r="AD92" i="2"/>
  <c r="Y92" i="2"/>
  <c r="U92" i="2"/>
  <c r="AK92" i="2"/>
  <c r="AG92" i="2"/>
  <c r="AC92" i="2"/>
  <c r="X92" i="2"/>
  <c r="AJ92" i="2"/>
  <c r="W92" i="2"/>
  <c r="V92" i="2"/>
  <c r="AI92" i="2"/>
  <c r="Z92" i="2"/>
  <c r="AF92" i="2"/>
  <c r="AE92" i="2"/>
  <c r="AI238" i="2"/>
  <c r="AE238" i="2"/>
  <c r="Z238" i="2"/>
  <c r="V238" i="2"/>
  <c r="AK238" i="2"/>
  <c r="AF238" i="2"/>
  <c r="Y238" i="2"/>
  <c r="AJ238" i="2"/>
  <c r="AD238" i="2"/>
  <c r="X238" i="2"/>
  <c r="AH238" i="2"/>
  <c r="W238" i="2"/>
  <c r="AG238" i="2"/>
  <c r="U238" i="2"/>
  <c r="AC238" i="2"/>
  <c r="AJ116" i="2"/>
  <c r="AF116" i="2"/>
  <c r="W116" i="2"/>
  <c r="AI116" i="2"/>
  <c r="AE116" i="2"/>
  <c r="Z116" i="2"/>
  <c r="V116" i="2"/>
  <c r="AD116" i="2"/>
  <c r="U116" i="2"/>
  <c r="AK116" i="2"/>
  <c r="AC116" i="2"/>
  <c r="AH116" i="2"/>
  <c r="AG116" i="2"/>
  <c r="Y116" i="2"/>
  <c r="X116" i="2"/>
  <c r="AJ124" i="2"/>
  <c r="AF124" i="2"/>
  <c r="W124" i="2"/>
  <c r="AI124" i="2"/>
  <c r="AE124" i="2"/>
  <c r="Z124" i="2"/>
  <c r="V124" i="2"/>
  <c r="AD124" i="2"/>
  <c r="U124" i="2"/>
  <c r="AK124" i="2"/>
  <c r="AC124" i="2"/>
  <c r="AH124" i="2"/>
  <c r="AG124" i="2"/>
  <c r="Y124" i="2"/>
  <c r="X124" i="2"/>
  <c r="AJ132" i="2"/>
  <c r="AF132" i="2"/>
  <c r="W132" i="2"/>
  <c r="AI132" i="2"/>
  <c r="AE132" i="2"/>
  <c r="Z132" i="2"/>
  <c r="V132" i="2"/>
  <c r="AD132" i="2"/>
  <c r="U132" i="2"/>
  <c r="AK132" i="2"/>
  <c r="AC132" i="2"/>
  <c r="AH132" i="2"/>
  <c r="AG132" i="2"/>
  <c r="Y132" i="2"/>
  <c r="X132" i="2"/>
  <c r="AJ140" i="2"/>
  <c r="AF140" i="2"/>
  <c r="W140" i="2"/>
  <c r="AI140" i="2"/>
  <c r="AE140" i="2"/>
  <c r="Z140" i="2"/>
  <c r="V140" i="2"/>
  <c r="AD140" i="2"/>
  <c r="U140" i="2"/>
  <c r="AK140" i="2"/>
  <c r="AC140" i="2"/>
  <c r="AH140" i="2"/>
  <c r="AG140" i="2"/>
  <c r="Y140" i="2"/>
  <c r="X140" i="2"/>
  <c r="AJ148" i="2"/>
  <c r="AF148" i="2"/>
  <c r="W148" i="2"/>
  <c r="AI148" i="2"/>
  <c r="AE148" i="2"/>
  <c r="Z148" i="2"/>
  <c r="V148" i="2"/>
  <c r="AD148" i="2"/>
  <c r="U148" i="2"/>
  <c r="AK148" i="2"/>
  <c r="AC148" i="2"/>
  <c r="AH148" i="2"/>
  <c r="X148" i="2"/>
  <c r="AG148" i="2"/>
  <c r="Y148" i="2"/>
  <c r="AK217" i="2"/>
  <c r="AG217" i="2"/>
  <c r="AC217" i="2"/>
  <c r="X217" i="2"/>
  <c r="AI217" i="2"/>
  <c r="AD217" i="2"/>
  <c r="W217" i="2"/>
  <c r="AH217" i="2"/>
  <c r="V217" i="2"/>
  <c r="Z217" i="2"/>
  <c r="AJ217" i="2"/>
  <c r="Y217" i="2"/>
  <c r="AF217" i="2"/>
  <c r="AE217" i="2"/>
  <c r="U217" i="2"/>
  <c r="AI251" i="2"/>
  <c r="AE251" i="2"/>
  <c r="Z251" i="2"/>
  <c r="V251" i="2"/>
  <c r="AK251" i="2"/>
  <c r="AF251" i="2"/>
  <c r="Y251" i="2"/>
  <c r="AJ251" i="2"/>
  <c r="AD251" i="2"/>
  <c r="X251" i="2"/>
  <c r="AC251" i="2"/>
  <c r="AH251" i="2"/>
  <c r="AG251" i="2"/>
  <c r="W251" i="2"/>
  <c r="U251" i="2"/>
  <c r="AJ157" i="2"/>
  <c r="AF157" i="2"/>
  <c r="W157" i="2"/>
  <c r="AI157" i="2"/>
  <c r="AE157" i="2"/>
  <c r="Z157" i="2"/>
  <c r="V157" i="2"/>
  <c r="AD157" i="2"/>
  <c r="U157" i="2"/>
  <c r="AK157" i="2"/>
  <c r="AC157" i="2"/>
  <c r="Y157" i="2"/>
  <c r="X157" i="2"/>
  <c r="AG157" i="2"/>
  <c r="AH157" i="2"/>
  <c r="AJ165" i="2"/>
  <c r="AF165" i="2"/>
  <c r="W165" i="2"/>
  <c r="AI165" i="2"/>
  <c r="AE165" i="2"/>
  <c r="Z165" i="2"/>
  <c r="V165" i="2"/>
  <c r="AD165" i="2"/>
  <c r="U165" i="2"/>
  <c r="AK165" i="2"/>
  <c r="AC165" i="2"/>
  <c r="Y165" i="2"/>
  <c r="X165" i="2"/>
  <c r="AH165" i="2"/>
  <c r="AG165" i="2"/>
  <c r="AJ173" i="2"/>
  <c r="AF173" i="2"/>
  <c r="W173" i="2"/>
  <c r="AI173" i="2"/>
  <c r="AE173" i="2"/>
  <c r="Z173" i="2"/>
  <c r="V173" i="2"/>
  <c r="AD173" i="2"/>
  <c r="U173" i="2"/>
  <c r="AK173" i="2"/>
  <c r="AC173" i="2"/>
  <c r="Y173" i="2"/>
  <c r="X173" i="2"/>
  <c r="AH173" i="2"/>
  <c r="AG173" i="2"/>
  <c r="AJ181" i="2"/>
  <c r="AF181" i="2"/>
  <c r="W181" i="2"/>
  <c r="AI181" i="2"/>
  <c r="AE181" i="2"/>
  <c r="Z181" i="2"/>
  <c r="V181" i="2"/>
  <c r="AD181" i="2"/>
  <c r="U181" i="2"/>
  <c r="AK181" i="2"/>
  <c r="AC181" i="2"/>
  <c r="Y181" i="2"/>
  <c r="X181" i="2"/>
  <c r="AH181" i="2"/>
  <c r="AG181" i="2"/>
  <c r="AJ189" i="2"/>
  <c r="AF189" i="2"/>
  <c r="W189" i="2"/>
  <c r="AI189" i="2"/>
  <c r="AE189" i="2"/>
  <c r="Z189" i="2"/>
  <c r="V189" i="2"/>
  <c r="AD189" i="2"/>
  <c r="U189" i="2"/>
  <c r="AK189" i="2"/>
  <c r="AC189" i="2"/>
  <c r="Y189" i="2"/>
  <c r="X189" i="2"/>
  <c r="AH189" i="2"/>
  <c r="AG189" i="2"/>
  <c r="AJ201" i="2"/>
  <c r="AF201" i="2"/>
  <c r="W201" i="2"/>
  <c r="AI201" i="2"/>
  <c r="AE201" i="2"/>
  <c r="Z201" i="2"/>
  <c r="V201" i="2"/>
  <c r="AD201" i="2"/>
  <c r="U201" i="2"/>
  <c r="AK201" i="2"/>
  <c r="AC201" i="2"/>
  <c r="Y201" i="2"/>
  <c r="X201" i="2"/>
  <c r="AH201" i="2"/>
  <c r="AG201" i="2"/>
  <c r="AJ213" i="2"/>
  <c r="AF213" i="2"/>
  <c r="W213" i="2"/>
  <c r="AI213" i="2"/>
  <c r="AE213" i="2"/>
  <c r="Z213" i="2"/>
  <c r="V213" i="2"/>
  <c r="AD213" i="2"/>
  <c r="U213" i="2"/>
  <c r="AK213" i="2"/>
  <c r="AC213" i="2"/>
  <c r="Y213" i="2"/>
  <c r="X213" i="2"/>
  <c r="AH213" i="2"/>
  <c r="AG213" i="2"/>
  <c r="AI248" i="2"/>
  <c r="AE248" i="2"/>
  <c r="Z248" i="2"/>
  <c r="V248" i="2"/>
  <c r="AK248" i="2"/>
  <c r="AF248" i="2"/>
  <c r="Y248" i="2"/>
  <c r="AJ248" i="2"/>
  <c r="AD248" i="2"/>
  <c r="X248" i="2"/>
  <c r="AH248" i="2"/>
  <c r="W248" i="2"/>
  <c r="AG248" i="2"/>
  <c r="U248" i="2"/>
  <c r="AC248" i="2"/>
  <c r="AH106" i="2"/>
  <c r="AD106" i="2"/>
  <c r="Y106" i="2"/>
  <c r="U106" i="2"/>
  <c r="AK106" i="2"/>
  <c r="AG106" i="2"/>
  <c r="AC106" i="2"/>
  <c r="X106" i="2"/>
  <c r="AJ106" i="2"/>
  <c r="W106" i="2"/>
  <c r="V106" i="2"/>
  <c r="AI106" i="2"/>
  <c r="Z106" i="2"/>
  <c r="AF106" i="2"/>
  <c r="AE106" i="2"/>
  <c r="AH102" i="2"/>
  <c r="AD102" i="2"/>
  <c r="Y102" i="2"/>
  <c r="U102" i="2"/>
  <c r="AK102" i="2"/>
  <c r="AG102" i="2"/>
  <c r="AC102" i="2"/>
  <c r="X102" i="2"/>
  <c r="AJ102" i="2"/>
  <c r="AF102" i="2"/>
  <c r="V102" i="2"/>
  <c r="AI102" i="2"/>
  <c r="Z102" i="2"/>
  <c r="W102" i="2"/>
  <c r="AE102" i="2"/>
  <c r="AH98" i="2"/>
  <c r="AD98" i="2"/>
  <c r="Y98" i="2"/>
  <c r="U98" i="2"/>
  <c r="AK98" i="2"/>
  <c r="AG98" i="2"/>
  <c r="AC98" i="2"/>
  <c r="X98" i="2"/>
  <c r="AJ98" i="2"/>
  <c r="W98" i="2"/>
  <c r="V98" i="2"/>
  <c r="AI98" i="2"/>
  <c r="Z98" i="2"/>
  <c r="AF98" i="2"/>
  <c r="AE98" i="2"/>
  <c r="AH94" i="2"/>
  <c r="AD94" i="2"/>
  <c r="Y94" i="2"/>
  <c r="U94" i="2"/>
  <c r="AK94" i="2"/>
  <c r="AG94" i="2"/>
  <c r="AC94" i="2"/>
  <c r="X94" i="2"/>
  <c r="AJ94" i="2"/>
  <c r="W94" i="2"/>
  <c r="V94" i="2"/>
  <c r="AI94" i="2"/>
  <c r="Z94" i="2"/>
  <c r="AF94" i="2"/>
  <c r="AE94" i="2"/>
  <c r="AH90" i="2"/>
  <c r="AD90" i="2"/>
  <c r="Y90" i="2"/>
  <c r="U90" i="2"/>
  <c r="AK90" i="2"/>
  <c r="AG90" i="2"/>
  <c r="AC90" i="2"/>
  <c r="X90" i="2"/>
  <c r="AJ90" i="2"/>
  <c r="AF90" i="2"/>
  <c r="AI90" i="2"/>
  <c r="Z90" i="2"/>
  <c r="W90" i="2"/>
  <c r="AE90" i="2"/>
  <c r="V90" i="2"/>
  <c r="AH86" i="2"/>
  <c r="AD86" i="2"/>
  <c r="Y86" i="2"/>
  <c r="U86" i="2"/>
  <c r="AK86" i="2"/>
  <c r="AG86" i="2"/>
  <c r="AC86" i="2"/>
  <c r="X86" i="2"/>
  <c r="AJ86" i="2"/>
  <c r="AF86" i="2"/>
  <c r="V86" i="2"/>
  <c r="AI86" i="2"/>
  <c r="Z86" i="2"/>
  <c r="W86" i="2"/>
  <c r="AE86" i="2"/>
  <c r="AH82" i="2"/>
  <c r="AD82" i="2"/>
  <c r="Y82" i="2"/>
  <c r="U82" i="2"/>
  <c r="AK82" i="2"/>
  <c r="AG82" i="2"/>
  <c r="AC82" i="2"/>
  <c r="X82" i="2"/>
  <c r="AJ82" i="2"/>
  <c r="W82" i="2"/>
  <c r="V82" i="2"/>
  <c r="AI82" i="2"/>
  <c r="Z82" i="2"/>
  <c r="AF82" i="2"/>
  <c r="AE82" i="2"/>
  <c r="AH78" i="2"/>
  <c r="AD78" i="2"/>
  <c r="Y78" i="2"/>
  <c r="U78" i="2"/>
  <c r="AK78" i="2"/>
  <c r="AG78" i="2"/>
  <c r="AC78" i="2"/>
  <c r="X78" i="2"/>
  <c r="AJ78" i="2"/>
  <c r="AE78" i="2"/>
  <c r="AI78" i="2"/>
  <c r="Z78" i="2"/>
  <c r="AF78" i="2"/>
  <c r="W78" i="2"/>
  <c r="V78" i="2"/>
  <c r="AH74" i="2"/>
  <c r="AD74" i="2"/>
  <c r="Y74" i="2"/>
  <c r="U74" i="2"/>
  <c r="AK74" i="2"/>
  <c r="AG74" i="2"/>
  <c r="AC74" i="2"/>
  <c r="X74" i="2"/>
  <c r="AJ74" i="2"/>
  <c r="W74" i="2"/>
  <c r="AE74" i="2"/>
  <c r="AI74" i="2"/>
  <c r="Z74" i="2"/>
  <c r="AF74" i="2"/>
  <c r="V74" i="2"/>
  <c r="AH70" i="2"/>
  <c r="AD70" i="2"/>
  <c r="Y70" i="2"/>
  <c r="U70" i="2"/>
  <c r="AK70" i="2"/>
  <c r="AG70" i="2"/>
  <c r="AC70" i="2"/>
  <c r="X70" i="2"/>
  <c r="AJ70" i="2"/>
  <c r="AF70" i="2"/>
  <c r="AE70" i="2"/>
  <c r="V70" i="2"/>
  <c r="AI70" i="2"/>
  <c r="Z70" i="2"/>
  <c r="W70" i="2"/>
  <c r="AH66" i="2"/>
  <c r="AD66" i="2"/>
  <c r="Y66" i="2"/>
  <c r="U66" i="2"/>
  <c r="AK66" i="2"/>
  <c r="AG66" i="2"/>
  <c r="AC66" i="2"/>
  <c r="X66" i="2"/>
  <c r="AJ66" i="2"/>
  <c r="AF66" i="2"/>
  <c r="AE66" i="2"/>
  <c r="AI66" i="2"/>
  <c r="Z66" i="2"/>
  <c r="W66" i="2"/>
  <c r="V66" i="2"/>
  <c r="AH62" i="2"/>
  <c r="AD62" i="2"/>
  <c r="Y62" i="2"/>
  <c r="U62" i="2"/>
  <c r="AK62" i="2"/>
  <c r="AG62" i="2"/>
  <c r="AC62" i="2"/>
  <c r="X62" i="2"/>
  <c r="AJ62" i="2"/>
  <c r="AF62" i="2"/>
  <c r="V62" i="2"/>
  <c r="AI62" i="2"/>
  <c r="Z62" i="2"/>
  <c r="W62" i="2"/>
  <c r="AE62" i="2"/>
  <c r="AH58" i="2"/>
  <c r="AD58" i="2"/>
  <c r="Y58" i="2"/>
  <c r="U58" i="2"/>
  <c r="AK58" i="2"/>
  <c r="AG58" i="2"/>
  <c r="AC58" i="2"/>
  <c r="X58" i="2"/>
  <c r="AJ58" i="2"/>
  <c r="W58" i="2"/>
  <c r="V58" i="2"/>
  <c r="AI58" i="2"/>
  <c r="Z58" i="2"/>
  <c r="AF58" i="2"/>
  <c r="AE58" i="2"/>
  <c r="AH54" i="2"/>
  <c r="AD54" i="2"/>
  <c r="Y54" i="2"/>
  <c r="U54" i="2"/>
  <c r="AK54" i="2"/>
  <c r="AG54" i="2"/>
  <c r="AC54" i="2"/>
  <c r="X54" i="2"/>
  <c r="AJ54" i="2"/>
  <c r="W54" i="2"/>
  <c r="AE54" i="2"/>
  <c r="AI54" i="2"/>
  <c r="Z54" i="2"/>
  <c r="AF54" i="2"/>
  <c r="V54" i="2"/>
  <c r="AH50" i="2"/>
  <c r="AD50" i="2"/>
  <c r="Y50" i="2"/>
  <c r="U50" i="2"/>
  <c r="AK50" i="2"/>
  <c r="AG50" i="2"/>
  <c r="AC50" i="2"/>
  <c r="X50" i="2"/>
  <c r="AJ50" i="2"/>
  <c r="W50" i="2"/>
  <c r="V50" i="2"/>
  <c r="AI50" i="2"/>
  <c r="Z50" i="2"/>
  <c r="AF50" i="2"/>
  <c r="AE50" i="2"/>
  <c r="AH46" i="2"/>
  <c r="AD46" i="2"/>
  <c r="Y46" i="2"/>
  <c r="U46" i="2"/>
  <c r="AK46" i="2"/>
  <c r="AG46" i="2"/>
  <c r="AC46" i="2"/>
  <c r="X46" i="2"/>
  <c r="AJ46" i="2"/>
  <c r="AF46" i="2"/>
  <c r="V46" i="2"/>
  <c r="AI46" i="2"/>
  <c r="Z46" i="2"/>
  <c r="W46" i="2"/>
  <c r="AE46" i="2"/>
  <c r="AH42" i="2"/>
  <c r="AD42" i="2"/>
  <c r="Y42" i="2"/>
  <c r="U42" i="2"/>
  <c r="AK42" i="2"/>
  <c r="AG42" i="2"/>
  <c r="AC42" i="2"/>
  <c r="X42" i="2"/>
  <c r="AJ42" i="2"/>
  <c r="W42" i="2"/>
  <c r="V42" i="2"/>
  <c r="AI42" i="2"/>
  <c r="Z42" i="2"/>
  <c r="AF42" i="2"/>
  <c r="AE42" i="2"/>
  <c r="AH38" i="2"/>
  <c r="AD38" i="2"/>
  <c r="Y38" i="2"/>
  <c r="U38" i="2"/>
  <c r="AK38" i="2"/>
  <c r="AG38" i="2"/>
  <c r="AC38" i="2"/>
  <c r="X38" i="2"/>
  <c r="AJ38" i="2"/>
  <c r="W38" i="2"/>
  <c r="AE38" i="2"/>
  <c r="AI38" i="2"/>
  <c r="Z38" i="2"/>
  <c r="AF38" i="2"/>
  <c r="V38" i="2"/>
  <c r="AH34" i="2"/>
  <c r="AD34" i="2"/>
  <c r="Y34" i="2"/>
  <c r="U34" i="2"/>
  <c r="AK34" i="2"/>
  <c r="AG34" i="2"/>
  <c r="AC34" i="2"/>
  <c r="X34" i="2"/>
  <c r="AJ34" i="2"/>
  <c r="AF34" i="2"/>
  <c r="V34" i="2"/>
  <c r="AI34" i="2"/>
  <c r="Z34" i="2"/>
  <c r="W34" i="2"/>
  <c r="AE34" i="2"/>
  <c r="AH30" i="2"/>
  <c r="AD30" i="2"/>
  <c r="Y30" i="2"/>
  <c r="U30" i="2"/>
  <c r="AK30" i="2"/>
  <c r="AG30" i="2"/>
  <c r="AC30" i="2"/>
  <c r="X30" i="2"/>
  <c r="AJ30" i="2"/>
  <c r="W30" i="2"/>
  <c r="V30" i="2"/>
  <c r="AI30" i="2"/>
  <c r="Z30" i="2"/>
  <c r="AF30" i="2"/>
  <c r="AE30" i="2"/>
  <c r="AH26" i="2"/>
  <c r="AD26" i="2"/>
  <c r="Y26" i="2"/>
  <c r="U26" i="2"/>
  <c r="AK26" i="2"/>
  <c r="AG26" i="2"/>
  <c r="AC26" i="2"/>
  <c r="X26" i="2"/>
  <c r="AJ26" i="2"/>
  <c r="W26" i="2"/>
  <c r="AE26" i="2"/>
  <c r="V26" i="2"/>
  <c r="AI26" i="2"/>
  <c r="Z26" i="2"/>
  <c r="AF26" i="2"/>
  <c r="AH22" i="2"/>
  <c r="AD22" i="2"/>
  <c r="Y22" i="2"/>
  <c r="U22" i="2"/>
  <c r="AK22" i="2"/>
  <c r="AG22" i="2"/>
  <c r="AC22" i="2"/>
  <c r="X22" i="2"/>
  <c r="AJ22" i="2"/>
  <c r="AF22" i="2"/>
  <c r="AE22" i="2"/>
  <c r="AI22" i="2"/>
  <c r="Z22" i="2"/>
  <c r="W22" i="2"/>
  <c r="V22" i="2"/>
  <c r="AH18" i="2"/>
  <c r="AD18" i="2"/>
  <c r="Y18" i="2"/>
  <c r="U18" i="2"/>
  <c r="AK18" i="2"/>
  <c r="AG18" i="2"/>
  <c r="AC18" i="2"/>
  <c r="X18" i="2"/>
  <c r="AJ18" i="2"/>
  <c r="AI18" i="2"/>
  <c r="Z18" i="2"/>
  <c r="AF18" i="2"/>
  <c r="W18" i="2"/>
  <c r="AE18" i="2"/>
  <c r="V18" i="2"/>
  <c r="AH14" i="2"/>
  <c r="AD14" i="2"/>
  <c r="Y14" i="2"/>
  <c r="U14" i="2"/>
  <c r="AK14" i="2"/>
  <c r="AG14" i="2"/>
  <c r="AC14" i="2"/>
  <c r="X14" i="2"/>
  <c r="AJ14" i="2"/>
  <c r="AF14" i="2"/>
  <c r="AI14" i="2"/>
  <c r="Z14" i="2"/>
  <c r="W14" i="2"/>
  <c r="AE14" i="2"/>
  <c r="V14" i="2"/>
  <c r="AH10" i="2"/>
  <c r="AD10" i="2"/>
  <c r="Y10" i="2"/>
  <c r="U10" i="2"/>
  <c r="AK10" i="2"/>
  <c r="AG10" i="2"/>
  <c r="AC10" i="2"/>
  <c r="X10" i="2"/>
  <c r="AJ10" i="2"/>
  <c r="AF10" i="2"/>
  <c r="AE10" i="2"/>
  <c r="AI10" i="2"/>
  <c r="Z10" i="2"/>
  <c r="W10" i="2"/>
  <c r="V10" i="2"/>
  <c r="AI240" i="2"/>
  <c r="AE240" i="2"/>
  <c r="Z240" i="2"/>
  <c r="V240" i="2"/>
  <c r="AK240" i="2"/>
  <c r="AF240" i="2"/>
  <c r="Y240" i="2"/>
  <c r="AJ240" i="2"/>
  <c r="AD240" i="2"/>
  <c r="X240" i="2"/>
  <c r="AH240" i="2"/>
  <c r="W240" i="2"/>
  <c r="AG240" i="2"/>
  <c r="U240" i="2"/>
  <c r="AC240" i="2"/>
  <c r="AI8" i="2"/>
  <c r="AE8" i="2"/>
  <c r="Z8" i="2"/>
  <c r="V8" i="2"/>
  <c r="AH8" i="2"/>
  <c r="AD8" i="2"/>
  <c r="Y8" i="2"/>
  <c r="U8" i="2"/>
  <c r="AK8" i="2"/>
  <c r="AC8" i="2"/>
  <c r="AG8" i="2"/>
  <c r="AF8" i="2"/>
  <c r="AJ8" i="2"/>
  <c r="X8" i="2"/>
  <c r="W8" i="2"/>
  <c r="AI232" i="2"/>
  <c r="AE232" i="2"/>
  <c r="Z232" i="2"/>
  <c r="V232" i="2"/>
  <c r="AK232" i="2"/>
  <c r="AF232" i="2"/>
  <c r="Y232" i="2"/>
  <c r="AJ232" i="2"/>
  <c r="AD232" i="2"/>
  <c r="X232" i="2"/>
  <c r="AH232" i="2"/>
  <c r="W232" i="2"/>
  <c r="AG232" i="2"/>
  <c r="U232" i="2"/>
  <c r="AC232" i="2"/>
  <c r="AI260" i="2"/>
  <c r="AE260" i="2"/>
  <c r="Z260" i="2"/>
  <c r="V260" i="2"/>
  <c r="AK260" i="2"/>
  <c r="AF260" i="2"/>
  <c r="Y260" i="2"/>
  <c r="AJ260" i="2"/>
  <c r="AD260" i="2"/>
  <c r="X260" i="2"/>
  <c r="AH260" i="2"/>
  <c r="W260" i="2"/>
  <c r="AG260" i="2"/>
  <c r="U260" i="2"/>
  <c r="AC260" i="2"/>
  <c r="AI230" i="2"/>
  <c r="AE230" i="2"/>
  <c r="Z230" i="2"/>
  <c r="V230" i="2"/>
  <c r="AK230" i="2"/>
  <c r="AF230" i="2"/>
  <c r="Y230" i="2"/>
  <c r="AJ230" i="2"/>
  <c r="AD230" i="2"/>
  <c r="X230" i="2"/>
  <c r="AH230" i="2"/>
  <c r="W230" i="2"/>
  <c r="AG230" i="2"/>
  <c r="U230" i="2"/>
  <c r="AC230" i="2"/>
  <c r="AI246" i="2"/>
  <c r="AE246" i="2"/>
  <c r="Z246" i="2"/>
  <c r="V246" i="2"/>
  <c r="AK246" i="2"/>
  <c r="AF246" i="2"/>
  <c r="Y246" i="2"/>
  <c r="AJ246" i="2"/>
  <c r="AD246" i="2"/>
  <c r="X246" i="2"/>
  <c r="AH246" i="2"/>
  <c r="W246" i="2"/>
  <c r="AG246" i="2"/>
  <c r="U246" i="2"/>
  <c r="AC246" i="2"/>
  <c r="AJ110" i="2"/>
  <c r="AF110" i="2"/>
  <c r="W110" i="2"/>
  <c r="AG110" i="2"/>
  <c r="Z110" i="2"/>
  <c r="U110" i="2"/>
  <c r="AK110" i="2"/>
  <c r="AE110" i="2"/>
  <c r="Y110" i="2"/>
  <c r="AD110" i="2"/>
  <c r="V110" i="2"/>
  <c r="AC110" i="2"/>
  <c r="AI110" i="2"/>
  <c r="X110" i="2"/>
  <c r="AH110" i="2"/>
  <c r="AJ114" i="2"/>
  <c r="AF114" i="2"/>
  <c r="W114" i="2"/>
  <c r="AI114" i="2"/>
  <c r="AE114" i="2"/>
  <c r="Z114" i="2"/>
  <c r="V114" i="2"/>
  <c r="AD114" i="2"/>
  <c r="U114" i="2"/>
  <c r="AK114" i="2"/>
  <c r="AC114" i="2"/>
  <c r="AH114" i="2"/>
  <c r="Y114" i="2"/>
  <c r="AG114" i="2"/>
  <c r="X114" i="2"/>
  <c r="AJ118" i="2"/>
  <c r="AF118" i="2"/>
  <c r="W118" i="2"/>
  <c r="AI118" i="2"/>
  <c r="AE118" i="2"/>
  <c r="Z118" i="2"/>
  <c r="V118" i="2"/>
  <c r="AD118" i="2"/>
  <c r="U118" i="2"/>
  <c r="AK118" i="2"/>
  <c r="AC118" i="2"/>
  <c r="AH118" i="2"/>
  <c r="AG118" i="2"/>
  <c r="Y118" i="2"/>
  <c r="X118" i="2"/>
  <c r="AJ122" i="2"/>
  <c r="AF122" i="2"/>
  <c r="W122" i="2"/>
  <c r="AI122" i="2"/>
  <c r="AE122" i="2"/>
  <c r="Z122" i="2"/>
  <c r="V122" i="2"/>
  <c r="AD122" i="2"/>
  <c r="U122" i="2"/>
  <c r="AK122" i="2"/>
  <c r="AC122" i="2"/>
  <c r="AH122" i="2"/>
  <c r="AG122" i="2"/>
  <c r="Y122" i="2"/>
  <c r="X122" i="2"/>
  <c r="AJ126" i="2"/>
  <c r="AF126" i="2"/>
  <c r="W126" i="2"/>
  <c r="AI126" i="2"/>
  <c r="AE126" i="2"/>
  <c r="Z126" i="2"/>
  <c r="V126" i="2"/>
  <c r="AD126" i="2"/>
  <c r="U126" i="2"/>
  <c r="AK126" i="2"/>
  <c r="AC126" i="2"/>
  <c r="AH126" i="2"/>
  <c r="AG126" i="2"/>
  <c r="Y126" i="2"/>
  <c r="X126" i="2"/>
  <c r="AJ130" i="2"/>
  <c r="AF130" i="2"/>
  <c r="W130" i="2"/>
  <c r="AI130" i="2"/>
  <c r="AE130" i="2"/>
  <c r="Z130" i="2"/>
  <c r="V130" i="2"/>
  <c r="AD130" i="2"/>
  <c r="U130" i="2"/>
  <c r="AK130" i="2"/>
  <c r="AC130" i="2"/>
  <c r="AH130" i="2"/>
  <c r="AG130" i="2"/>
  <c r="Y130" i="2"/>
  <c r="X130" i="2"/>
  <c r="AJ134" i="2"/>
  <c r="AF134" i="2"/>
  <c r="W134" i="2"/>
  <c r="AI134" i="2"/>
  <c r="AE134" i="2"/>
  <c r="Z134" i="2"/>
  <c r="V134" i="2"/>
  <c r="AD134" i="2"/>
  <c r="U134" i="2"/>
  <c r="AK134" i="2"/>
  <c r="AC134" i="2"/>
  <c r="AH134" i="2"/>
  <c r="AG134" i="2"/>
  <c r="Y134" i="2"/>
  <c r="X134" i="2"/>
  <c r="AJ138" i="2"/>
  <c r="AF138" i="2"/>
  <c r="W138" i="2"/>
  <c r="AI138" i="2"/>
  <c r="AE138" i="2"/>
  <c r="Z138" i="2"/>
  <c r="V138" i="2"/>
  <c r="AD138" i="2"/>
  <c r="U138" i="2"/>
  <c r="AK138" i="2"/>
  <c r="AC138" i="2"/>
  <c r="AH138" i="2"/>
  <c r="AG138" i="2"/>
  <c r="Y138" i="2"/>
  <c r="X138" i="2"/>
  <c r="AJ142" i="2"/>
  <c r="AF142" i="2"/>
  <c r="W142" i="2"/>
  <c r="AI142" i="2"/>
  <c r="AE142" i="2"/>
  <c r="Z142" i="2"/>
  <c r="V142" i="2"/>
  <c r="AD142" i="2"/>
  <c r="U142" i="2"/>
  <c r="AK142" i="2"/>
  <c r="AC142" i="2"/>
  <c r="AH142" i="2"/>
  <c r="X142" i="2"/>
  <c r="AG142" i="2"/>
  <c r="Y142" i="2"/>
  <c r="AJ146" i="2"/>
  <c r="AF146" i="2"/>
  <c r="W146" i="2"/>
  <c r="AI146" i="2"/>
  <c r="AE146" i="2"/>
  <c r="Z146" i="2"/>
  <c r="V146" i="2"/>
  <c r="AD146" i="2"/>
  <c r="U146" i="2"/>
  <c r="AK146" i="2"/>
  <c r="AC146" i="2"/>
  <c r="AH146" i="2"/>
  <c r="X146" i="2"/>
  <c r="AG146" i="2"/>
  <c r="Y146" i="2"/>
  <c r="AJ150" i="2"/>
  <c r="AF150" i="2"/>
  <c r="W150" i="2"/>
  <c r="AI150" i="2"/>
  <c r="AE150" i="2"/>
  <c r="Z150" i="2"/>
  <c r="V150" i="2"/>
  <c r="AD150" i="2"/>
  <c r="U150" i="2"/>
  <c r="AK150" i="2"/>
  <c r="AC150" i="2"/>
  <c r="AH150" i="2"/>
  <c r="X150" i="2"/>
  <c r="AG150" i="2"/>
  <c r="Y150" i="2"/>
  <c r="AJ154" i="2"/>
  <c r="AF154" i="2"/>
  <c r="AG154" i="2"/>
  <c r="W154" i="2"/>
  <c r="AK154" i="2"/>
  <c r="AE154" i="2"/>
  <c r="Z154" i="2"/>
  <c r="V154" i="2"/>
  <c r="AD154" i="2"/>
  <c r="U154" i="2"/>
  <c r="AC154" i="2"/>
  <c r="AI154" i="2"/>
  <c r="X154" i="2"/>
  <c r="AH154" i="2"/>
  <c r="Y154" i="2"/>
  <c r="AI231" i="2"/>
  <c r="AE231" i="2"/>
  <c r="Z231" i="2"/>
  <c r="V231" i="2"/>
  <c r="AK231" i="2"/>
  <c r="AF231" i="2"/>
  <c r="Y231" i="2"/>
  <c r="AJ231" i="2"/>
  <c r="AD231" i="2"/>
  <c r="X231" i="2"/>
  <c r="AC231" i="2"/>
  <c r="AH231" i="2"/>
  <c r="AG231" i="2"/>
  <c r="W231" i="2"/>
  <c r="U231" i="2"/>
  <c r="AI239" i="2"/>
  <c r="AE239" i="2"/>
  <c r="Z239" i="2"/>
  <c r="V239" i="2"/>
  <c r="AK239" i="2"/>
  <c r="AF239" i="2"/>
  <c r="Y239" i="2"/>
  <c r="AJ239" i="2"/>
  <c r="AD239" i="2"/>
  <c r="X239" i="2"/>
  <c r="AC239" i="2"/>
  <c r="AH239" i="2"/>
  <c r="AG239" i="2"/>
  <c r="W239" i="2"/>
  <c r="U239" i="2"/>
  <c r="AI247" i="2"/>
  <c r="AE247" i="2"/>
  <c r="Z247" i="2"/>
  <c r="V247" i="2"/>
  <c r="AK247" i="2"/>
  <c r="AF247" i="2"/>
  <c r="Y247" i="2"/>
  <c r="AJ247" i="2"/>
  <c r="AD247" i="2"/>
  <c r="X247" i="2"/>
  <c r="AC247" i="2"/>
  <c r="AH247" i="2"/>
  <c r="AG247" i="2"/>
  <c r="W247" i="2"/>
  <c r="U247" i="2"/>
  <c r="AI255" i="2"/>
  <c r="AE255" i="2"/>
  <c r="Z255" i="2"/>
  <c r="V255" i="2"/>
  <c r="AK255" i="2"/>
  <c r="AF255" i="2"/>
  <c r="Y255" i="2"/>
  <c r="AJ255" i="2"/>
  <c r="AD255" i="2"/>
  <c r="X255" i="2"/>
  <c r="AC255" i="2"/>
  <c r="AH255" i="2"/>
  <c r="AG255" i="2"/>
  <c r="W255" i="2"/>
  <c r="U255" i="2"/>
  <c r="AJ155" i="2"/>
  <c r="AF155" i="2"/>
  <c r="W155" i="2"/>
  <c r="AI155" i="2"/>
  <c r="AE155" i="2"/>
  <c r="Z155" i="2"/>
  <c r="V155" i="2"/>
  <c r="AD155" i="2"/>
  <c r="U155" i="2"/>
  <c r="AK155" i="2"/>
  <c r="AC155" i="2"/>
  <c r="Y155" i="2"/>
  <c r="X155" i="2"/>
  <c r="AH155" i="2"/>
  <c r="AG155" i="2"/>
  <c r="AJ159" i="2"/>
  <c r="AF159" i="2"/>
  <c r="W159" i="2"/>
  <c r="AI159" i="2"/>
  <c r="AE159" i="2"/>
  <c r="Z159" i="2"/>
  <c r="V159" i="2"/>
  <c r="AD159" i="2"/>
  <c r="U159" i="2"/>
  <c r="AK159" i="2"/>
  <c r="AC159" i="2"/>
  <c r="Y159" i="2"/>
  <c r="X159" i="2"/>
  <c r="AH159" i="2"/>
  <c r="AG159" i="2"/>
  <c r="AJ163" i="2"/>
  <c r="AF163" i="2"/>
  <c r="W163" i="2"/>
  <c r="AI163" i="2"/>
  <c r="AE163" i="2"/>
  <c r="Z163" i="2"/>
  <c r="V163" i="2"/>
  <c r="AD163" i="2"/>
  <c r="U163" i="2"/>
  <c r="AK163" i="2"/>
  <c r="AC163" i="2"/>
  <c r="Y163" i="2"/>
  <c r="X163" i="2"/>
  <c r="AG163" i="2"/>
  <c r="AH163" i="2"/>
  <c r="AJ167" i="2"/>
  <c r="AF167" i="2"/>
  <c r="W167" i="2"/>
  <c r="AI167" i="2"/>
  <c r="AE167" i="2"/>
  <c r="Z167" i="2"/>
  <c r="V167" i="2"/>
  <c r="AD167" i="2"/>
  <c r="U167" i="2"/>
  <c r="AK167" i="2"/>
  <c r="AC167" i="2"/>
  <c r="Y167" i="2"/>
  <c r="X167" i="2"/>
  <c r="AG167" i="2"/>
  <c r="AH167" i="2"/>
  <c r="AJ171" i="2"/>
  <c r="AF171" i="2"/>
  <c r="W171" i="2"/>
  <c r="AI171" i="2"/>
  <c r="AE171" i="2"/>
  <c r="Z171" i="2"/>
  <c r="V171" i="2"/>
  <c r="AD171" i="2"/>
  <c r="U171" i="2"/>
  <c r="AK171" i="2"/>
  <c r="AC171" i="2"/>
  <c r="Y171" i="2"/>
  <c r="X171" i="2"/>
  <c r="AG171" i="2"/>
  <c r="AH171" i="2"/>
  <c r="AJ175" i="2"/>
  <c r="AF175" i="2"/>
  <c r="W175" i="2"/>
  <c r="AI175" i="2"/>
  <c r="AE175" i="2"/>
  <c r="Z175" i="2"/>
  <c r="V175" i="2"/>
  <c r="AD175" i="2"/>
  <c r="U175" i="2"/>
  <c r="AK175" i="2"/>
  <c r="AC175" i="2"/>
  <c r="Y175" i="2"/>
  <c r="X175" i="2"/>
  <c r="AH175" i="2"/>
  <c r="AG175" i="2"/>
  <c r="AJ179" i="2"/>
  <c r="AF179" i="2"/>
  <c r="W179" i="2"/>
  <c r="AI179" i="2"/>
  <c r="AE179" i="2"/>
  <c r="Z179" i="2"/>
  <c r="V179" i="2"/>
  <c r="AD179" i="2"/>
  <c r="U179" i="2"/>
  <c r="AK179" i="2"/>
  <c r="AC179" i="2"/>
  <c r="Y179" i="2"/>
  <c r="X179" i="2"/>
  <c r="AH179" i="2"/>
  <c r="AG179" i="2"/>
  <c r="AJ183" i="2"/>
  <c r="AF183" i="2"/>
  <c r="W183" i="2"/>
  <c r="AI183" i="2"/>
  <c r="AE183" i="2"/>
  <c r="Z183" i="2"/>
  <c r="V183" i="2"/>
  <c r="AD183" i="2"/>
  <c r="U183" i="2"/>
  <c r="AK183" i="2"/>
  <c r="AC183" i="2"/>
  <c r="Y183" i="2"/>
  <c r="X183" i="2"/>
  <c r="AH183" i="2"/>
  <c r="AG183" i="2"/>
  <c r="AJ187" i="2"/>
  <c r="AF187" i="2"/>
  <c r="W187" i="2"/>
  <c r="AI187" i="2"/>
  <c r="AE187" i="2"/>
  <c r="Z187" i="2"/>
  <c r="V187" i="2"/>
  <c r="AD187" i="2"/>
  <c r="U187" i="2"/>
  <c r="AK187" i="2"/>
  <c r="AC187" i="2"/>
  <c r="Y187" i="2"/>
  <c r="X187" i="2"/>
  <c r="AH187" i="2"/>
  <c r="AG187" i="2"/>
  <c r="AJ191" i="2"/>
  <c r="AF191" i="2"/>
  <c r="W191" i="2"/>
  <c r="AI191" i="2"/>
  <c r="AE191" i="2"/>
  <c r="Z191" i="2"/>
  <c r="V191" i="2"/>
  <c r="AD191" i="2"/>
  <c r="U191" i="2"/>
  <c r="AK191" i="2"/>
  <c r="AC191" i="2"/>
  <c r="Y191" i="2"/>
  <c r="X191" i="2"/>
  <c r="AH191" i="2"/>
  <c r="AG191" i="2"/>
  <c r="AJ195" i="2"/>
  <c r="AF195" i="2"/>
  <c r="W195" i="2"/>
  <c r="AI195" i="2"/>
  <c r="AE195" i="2"/>
  <c r="Z195" i="2"/>
  <c r="V195" i="2"/>
  <c r="AD195" i="2"/>
  <c r="U195" i="2"/>
  <c r="AK195" i="2"/>
  <c r="AC195" i="2"/>
  <c r="Y195" i="2"/>
  <c r="X195" i="2"/>
  <c r="AH195" i="2"/>
  <c r="AG195" i="2"/>
  <c r="AJ199" i="2"/>
  <c r="AF199" i="2"/>
  <c r="W199" i="2"/>
  <c r="AI199" i="2"/>
  <c r="AE199" i="2"/>
  <c r="Z199" i="2"/>
  <c r="V199" i="2"/>
  <c r="AD199" i="2"/>
  <c r="U199" i="2"/>
  <c r="AK199" i="2"/>
  <c r="AC199" i="2"/>
  <c r="Y199" i="2"/>
  <c r="X199" i="2"/>
  <c r="AH199" i="2"/>
  <c r="AG199" i="2"/>
  <c r="AJ203" i="2"/>
  <c r="AF203" i="2"/>
  <c r="W203" i="2"/>
  <c r="AI203" i="2"/>
  <c r="AE203" i="2"/>
  <c r="Z203" i="2"/>
  <c r="V203" i="2"/>
  <c r="AD203" i="2"/>
  <c r="U203" i="2"/>
  <c r="AK203" i="2"/>
  <c r="AC203" i="2"/>
  <c r="Y203" i="2"/>
  <c r="X203" i="2"/>
  <c r="AH203" i="2"/>
  <c r="AG203" i="2"/>
  <c r="AJ207" i="2"/>
  <c r="AF207" i="2"/>
  <c r="W207" i="2"/>
  <c r="AI207" i="2"/>
  <c r="AE207" i="2"/>
  <c r="Z207" i="2"/>
  <c r="V207" i="2"/>
  <c r="AD207" i="2"/>
  <c r="U207" i="2"/>
  <c r="AK207" i="2"/>
  <c r="AC207" i="2"/>
  <c r="Y207" i="2"/>
  <c r="X207" i="2"/>
  <c r="AH207" i="2"/>
  <c r="AG207" i="2"/>
  <c r="AJ211" i="2"/>
  <c r="AF211" i="2"/>
  <c r="W211" i="2"/>
  <c r="AI211" i="2"/>
  <c r="AE211" i="2"/>
  <c r="Z211" i="2"/>
  <c r="V211" i="2"/>
  <c r="AD211" i="2"/>
  <c r="U211" i="2"/>
  <c r="AK211" i="2"/>
  <c r="AC211" i="2"/>
  <c r="Y211" i="2"/>
  <c r="X211" i="2"/>
  <c r="AH211" i="2"/>
  <c r="AG211" i="2"/>
  <c r="AJ215" i="2"/>
  <c r="AF215" i="2"/>
  <c r="W215" i="2"/>
  <c r="AI215" i="2"/>
  <c r="AE215" i="2"/>
  <c r="Z215" i="2"/>
  <c r="V215" i="2"/>
  <c r="AD215" i="2"/>
  <c r="U215" i="2"/>
  <c r="AK215" i="2"/>
  <c r="AC215" i="2"/>
  <c r="Y215" i="2"/>
  <c r="X215" i="2"/>
  <c r="AH215" i="2"/>
  <c r="AG215" i="2"/>
  <c r="AK222" i="2"/>
  <c r="AG222" i="2"/>
  <c r="AC222" i="2"/>
  <c r="X222" i="2"/>
  <c r="AJ222" i="2"/>
  <c r="AF222" i="2"/>
  <c r="W222" i="2"/>
  <c r="AE222" i="2"/>
  <c r="V222" i="2"/>
  <c r="AD222" i="2"/>
  <c r="U222" i="2"/>
  <c r="Z222" i="2"/>
  <c r="Y222" i="2"/>
  <c r="AI222" i="2"/>
  <c r="AH222" i="2"/>
  <c r="AK226" i="2"/>
  <c r="AG226" i="2"/>
  <c r="AC226" i="2"/>
  <c r="X226" i="2"/>
  <c r="AJ226" i="2"/>
  <c r="AF226" i="2"/>
  <c r="W226" i="2"/>
  <c r="AE226" i="2"/>
  <c r="V226" i="2"/>
  <c r="AD226" i="2"/>
  <c r="U226" i="2"/>
  <c r="Z226" i="2"/>
  <c r="Y226" i="2"/>
  <c r="AI226" i="2"/>
  <c r="AH226" i="2"/>
  <c r="AK262" i="2"/>
  <c r="AG262" i="2"/>
  <c r="AC262" i="2"/>
  <c r="X262" i="2"/>
  <c r="AJ262" i="2"/>
  <c r="AF262" i="2"/>
  <c r="W262" i="2"/>
  <c r="AI262" i="2"/>
  <c r="Z262" i="2"/>
  <c r="AH262" i="2"/>
  <c r="V262" i="2"/>
  <c r="AE262" i="2"/>
  <c r="U262" i="2"/>
  <c r="AD262" i="2"/>
  <c r="Y262" i="2"/>
  <c r="AK266" i="2"/>
  <c r="AG266" i="2"/>
  <c r="AC266" i="2"/>
  <c r="X266" i="2"/>
  <c r="AJ266" i="2"/>
  <c r="AF266" i="2"/>
  <c r="W266" i="2"/>
  <c r="AI266" i="2"/>
  <c r="Z266" i="2"/>
  <c r="AH266" i="2"/>
  <c r="V266" i="2"/>
  <c r="AE266" i="2"/>
  <c r="U266" i="2"/>
  <c r="AD266" i="2"/>
  <c r="Y266" i="2"/>
  <c r="AK270" i="2"/>
  <c r="AG270" i="2"/>
  <c r="AC270" i="2"/>
  <c r="X270" i="2"/>
  <c r="AJ270" i="2"/>
  <c r="AF270" i="2"/>
  <c r="W270" i="2"/>
  <c r="AI270" i="2"/>
  <c r="Z270" i="2"/>
  <c r="AH270" i="2"/>
  <c r="V270" i="2"/>
  <c r="AE270" i="2"/>
  <c r="U270" i="2"/>
  <c r="AD270" i="2"/>
  <c r="Y270" i="2"/>
  <c r="AK274" i="2"/>
  <c r="AG274" i="2"/>
  <c r="AC274" i="2"/>
  <c r="X274" i="2"/>
  <c r="AJ274" i="2"/>
  <c r="AF274" i="2"/>
  <c r="W274" i="2"/>
  <c r="AI274" i="2"/>
  <c r="Z274" i="2"/>
  <c r="AH274" i="2"/>
  <c r="V274" i="2"/>
  <c r="AE274" i="2"/>
  <c r="U274" i="2"/>
  <c r="AD274" i="2"/>
  <c r="Y274" i="2"/>
  <c r="AK278" i="2"/>
  <c r="AG278" i="2"/>
  <c r="AC278" i="2"/>
  <c r="X278" i="2"/>
  <c r="AJ278" i="2"/>
  <c r="AF278" i="2"/>
  <c r="W278" i="2"/>
  <c r="AI278" i="2"/>
  <c r="Z278" i="2"/>
  <c r="AH278" i="2"/>
  <c r="V278" i="2"/>
  <c r="AE278" i="2"/>
  <c r="U278" i="2"/>
  <c r="AD278" i="2"/>
  <c r="Y278" i="2"/>
  <c r="AK282" i="2"/>
  <c r="AG282" i="2"/>
  <c r="AC282" i="2"/>
  <c r="X282" i="2"/>
  <c r="AJ282" i="2"/>
  <c r="AF282" i="2"/>
  <c r="W282" i="2"/>
  <c r="AI282" i="2"/>
  <c r="Z282" i="2"/>
  <c r="AH282" i="2"/>
  <c r="V282" i="2"/>
  <c r="AE282" i="2"/>
  <c r="U282" i="2"/>
  <c r="AD282" i="2"/>
  <c r="Y282" i="2"/>
  <c r="I5" i="2" l="1"/>
  <c r="J3" i="2"/>
  <c r="H3" i="2"/>
  <c r="E6" i="2"/>
  <c r="O7" i="1" s="1"/>
  <c r="H4" i="2"/>
  <c r="J4" i="2"/>
  <c r="I3" i="2"/>
  <c r="E5" i="2"/>
  <c r="J7" i="1" s="1"/>
  <c r="I4" i="2"/>
  <c r="H5" i="2"/>
  <c r="J5" i="2"/>
  <c r="E8" i="2"/>
  <c r="T7" i="1" s="1"/>
  <c r="E3" i="2" l="1"/>
  <c r="E9" i="2"/>
  <c r="AD7" i="1" s="1"/>
</calcChain>
</file>

<file path=xl/sharedStrings.xml><?xml version="1.0" encoding="utf-8"?>
<sst xmlns="http://schemas.openxmlformats.org/spreadsheetml/2006/main" count="6069" uniqueCount="866">
  <si>
    <t>PAKISTANI
FASHION
INTELLIGENCE</t>
  </si>
  <si>
    <t>PAKISTANI FASHION INTELLIGENCE</t>
  </si>
  <si>
    <t>SNAPSHOT DATE
31 Aug 2026</t>
  </si>
  <si>
    <t>REGION (WEATHER)
Peshawar, Pakistan</t>
  </si>
  <si>
    <t>COMPARATIVE RETAIL ANALYTICS OF J.  |  MARIA.B  |  SANA SAFINAZ</t>
  </si>
  <si>
    <t>FILTERS</t>
  </si>
  <si>
    <t>PRODUCTS</t>
  </si>
  <si>
    <t>MEDIAN PRICE</t>
  </si>
  <si>
    <t>AVG DISCOUNT</t>
  </si>
  <si>
    <t>SALE PRODUCTS</t>
  </si>
  <si>
    <t>CATEGORIES</t>
  </si>
  <si>
    <t>BRAND SCORE</t>
  </si>
  <si>
    <t>Brand</t>
  </si>
  <si>
    <t>All</t>
  </si>
  <si>
    <t>Selected products</t>
  </si>
  <si>
    <t>Current selection</t>
  </si>
  <si>
    <t>Products on sale</t>
  </si>
  <si>
    <t>Active categories</t>
  </si>
  <si>
    <t>Best / selected brand</t>
  </si>
  <si>
    <t>Category</t>
  </si>
  <si>
    <t>Subcategory</t>
  </si>
  <si>
    <t>Collection</t>
  </si>
  <si>
    <t>Availability</t>
  </si>
  <si>
    <t>1. Price positioning: which brand is more affordable?</t>
  </si>
  <si>
    <t>2. Discount depth: which brand gives stronger discounts?</t>
  </si>
  <si>
    <t>3. Promotion frequency: what share of products are on sale?</t>
  </si>
  <si>
    <t>Price Segment</t>
  </si>
  <si>
    <t>PESHAWAR WEATHER</t>
  </si>
  <si>
    <t>4. Assortment mix: which categories dominate the selection?</t>
  </si>
  <si>
    <t>5. Market positioning: Budget vs Mid vs Premium vs Luxury.</t>
  </si>
  <si>
    <t>Source: Open-Meteo API</t>
  </si>
  <si>
    <t>KEY INSIGHTS</t>
  </si>
  <si>
    <t>• Sana Safinaz has the highest overall Brand Intelligence Score (81.18).
• Maria.B has the highest overall median price (PKR 23,990), showing stronger premium positioning.
• J. is more value-oriented, while Sana Safinaz currently shows stronger promotional activity.
• Unstitched is the largest category in the 281-product snapshot.
• All five graphs respond to the dashboard dropdown filters.</t>
  </si>
  <si>
    <t>INTERACTIVE DASHBOARD CALCULATIONS</t>
  </si>
  <si>
    <t>J Price</t>
  </si>
  <si>
    <t>J Discount</t>
  </si>
  <si>
    <t>Maria Price</t>
  </si>
  <si>
    <t>Maria Discount</t>
  </si>
  <si>
    <t>Sana Price</t>
  </si>
  <si>
    <t>Sana Discount</t>
  </si>
  <si>
    <t>Include</t>
  </si>
  <si>
    <t>Filtered Price</t>
  </si>
  <si>
    <t>Filtered Discount</t>
  </si>
  <si>
    <t>Sale Flag</t>
  </si>
  <si>
    <t>KPI</t>
  </si>
  <si>
    <t>Value</t>
  </si>
  <si>
    <t>Median Price</t>
  </si>
  <si>
    <t>Avg Discount</t>
  </si>
  <si>
    <t>Score</t>
  </si>
  <si>
    <t>Sale Products %</t>
  </si>
  <si>
    <t>Products</t>
  </si>
  <si>
    <t>Budget</t>
  </si>
  <si>
    <t>Mid Range</t>
  </si>
  <si>
    <t>Premium</t>
  </si>
  <si>
    <t>Luxury</t>
  </si>
  <si>
    <t>Brands</t>
  </si>
  <si>
    <t>J.</t>
  </si>
  <si>
    <t>Unstitched</t>
  </si>
  <si>
    <t>Maria.B</t>
  </si>
  <si>
    <t>Formal</t>
  </si>
  <si>
    <t>Sana Safinaz</t>
  </si>
  <si>
    <t>Pret</t>
  </si>
  <si>
    <t>Average Discount</t>
  </si>
  <si>
    <t>Luxury Pret</t>
  </si>
  <si>
    <t>Categories</t>
  </si>
  <si>
    <t>Stitched</t>
  </si>
  <si>
    <t>Brand Score</t>
  </si>
  <si>
    <t>Product_ID</t>
  </si>
  <si>
    <t>Snapshot_Date</t>
  </si>
  <si>
    <t>Product_Name</t>
  </si>
  <si>
    <t>SKU</t>
  </si>
  <si>
    <t>Original_Price</t>
  </si>
  <si>
    <t>Sale_Price</t>
  </si>
  <si>
    <t>Discount_Amount</t>
  </si>
  <si>
    <t>Discount_Percent</t>
  </si>
  <si>
    <t>Sale_Status</t>
  </si>
  <si>
    <t>Price_Segment</t>
  </si>
  <si>
    <t>Discount_Band</t>
  </si>
  <si>
    <t>Category_Median_Price</t>
  </si>
  <si>
    <t>Price_Index</t>
  </si>
  <si>
    <t>Currency</t>
  </si>
  <si>
    <t>Price_Competitiveness_Score</t>
  </si>
  <si>
    <t>Discount_Strategy_Score</t>
  </si>
  <si>
    <t>Product_Variety_Score</t>
  </si>
  <si>
    <t>Availability_Score</t>
  </si>
  <si>
    <t>Brand_Intelligence_Score</t>
  </si>
  <si>
    <t>Scrape_Date</t>
  </si>
  <si>
    <t>J-001</t>
  </si>
  <si>
    <t>Choco Vanille</t>
  </si>
  <si>
    <t>PU300268-DFT-100ML-REG</t>
  </si>
  <si>
    <t>Other</t>
  </si>
  <si>
    <t>Women Unstitched</t>
  </si>
  <si>
    <t>Regular Price</t>
  </si>
  <si>
    <t>No Discount</t>
  </si>
  <si>
    <t>Available</t>
  </si>
  <si>
    <t>PKR</t>
  </si>
  <si>
    <t>J-002</t>
  </si>
  <si>
    <t>Galaxy Grape</t>
  </si>
  <si>
    <t>PU300267-DFT-100ML-REG</t>
  </si>
  <si>
    <t>J-003</t>
  </si>
  <si>
    <t>Matcha Matcha</t>
  </si>
  <si>
    <t>PU300266-DFT-100ML-REG</t>
  </si>
  <si>
    <t>J-004</t>
  </si>
  <si>
    <t>Pink Sugar</t>
  </si>
  <si>
    <t>PU300265-DFT-100ML-REG</t>
  </si>
  <si>
    <t>J-005</t>
  </si>
  <si>
    <t>ENIGMA NOIR</t>
  </si>
  <si>
    <t>PL300018-DFT-100ML-REG</t>
  </si>
  <si>
    <t>J-006</t>
  </si>
  <si>
    <t>ZARAR METALLIC</t>
  </si>
  <si>
    <t>PM300185-DFT-100ML-REG</t>
  </si>
  <si>
    <t>J-007</t>
  </si>
  <si>
    <t>ZARAR SHADOW</t>
  </si>
  <si>
    <t>PM300184-DFT-100ML-REG</t>
  </si>
  <si>
    <t>J-008</t>
  </si>
  <si>
    <t>JANAN ZIRCON</t>
  </si>
  <si>
    <t>PL300167-DFT-100ML-REG</t>
  </si>
  <si>
    <t>J-009</t>
  </si>
  <si>
    <t>JANAN PEARL</t>
  </si>
  <si>
    <t>PL300162-DFT-100ML-REG</t>
  </si>
  <si>
    <t>J-010</t>
  </si>
  <si>
    <t>JANAN ONYX</t>
  </si>
  <si>
    <t>PL300160-DFT-100ML-REG</t>
  </si>
  <si>
    <t>J-011</t>
  </si>
  <si>
    <t>Teal Embroidered Cambric Unstitched 2Pc</t>
  </si>
  <si>
    <t>JST262487U-GREEN-2PS-REG</t>
  </si>
  <si>
    <t>2 Piece</t>
  </si>
  <si>
    <t>J-012</t>
  </si>
  <si>
    <t>Red Embroidered Cambric Unstitched 2Pc</t>
  </si>
  <si>
    <t>JST262486U-RED-2PS-REG</t>
  </si>
  <si>
    <t>J-013</t>
  </si>
  <si>
    <t>Blue Embroidered Cambric Unstitched 2Pc</t>
  </si>
  <si>
    <t>JST262485U-BLUE-2PS-REG</t>
  </si>
  <si>
    <t>J-014</t>
  </si>
  <si>
    <t>Off White Embroidered Cambric Unstitched 2Pc</t>
  </si>
  <si>
    <t>JST262484U-WHITE-2PS-REG</t>
  </si>
  <si>
    <t>J-015</t>
  </si>
  <si>
    <t>Black Embroidered Dobby Unstitched 3Pc</t>
  </si>
  <si>
    <t>JLU264617U-BLACK-3PS-REG</t>
  </si>
  <si>
    <t>3 Piece</t>
  </si>
  <si>
    <t>J-016</t>
  </si>
  <si>
    <t>Brown Embroidered Dobby Unstitched 3Pc</t>
  </si>
  <si>
    <t>JLU264616U-BROWN-3PS-REG</t>
  </si>
  <si>
    <t>J-017</t>
  </si>
  <si>
    <t>Beige Embroidered Dobby Unstitched 3Pc</t>
  </si>
  <si>
    <t>JLU264615U-BROWN-3PS-REG</t>
  </si>
  <si>
    <t>J-018</t>
  </si>
  <si>
    <t>White Embroidered Dobby Unstitched 3Pc</t>
  </si>
  <si>
    <t>JLU264614U-WHITE-3PS-REG</t>
  </si>
  <si>
    <t>J-019</t>
  </si>
  <si>
    <t>Blue Embroidered Cambric Unstitched 3Pc</t>
  </si>
  <si>
    <t>JLU264613U-BLUE-3PS-REG</t>
  </si>
  <si>
    <t>J-020</t>
  </si>
  <si>
    <t>Purple Embroidered Cambric Unstitched 3Pc</t>
  </si>
  <si>
    <t>JLU264612U-PURPLE-3PS-REG</t>
  </si>
  <si>
    <t>J-021</t>
  </si>
  <si>
    <t>Red Embroidered Cambric Unstitched 3Pc</t>
  </si>
  <si>
    <t>JLU264611U-RED-3PS-REG</t>
  </si>
  <si>
    <t>J-022</t>
  </si>
  <si>
    <t>Green Embroidered Cambric Unstitched 3Pc</t>
  </si>
  <si>
    <t>JLU264610U-GREEN-3PS-REG</t>
  </si>
  <si>
    <t>J-023</t>
  </si>
  <si>
    <t>Purple Embroidered Liminal Unstitched 3Pc</t>
  </si>
  <si>
    <t>JLU264323U-PURPLE-3PS-REG</t>
  </si>
  <si>
    <t>J-024</t>
  </si>
  <si>
    <t>Green Embroidered Liminal Unstitched 3Pc</t>
  </si>
  <si>
    <t>JLU264322U-GREEN-3PS-REG</t>
  </si>
  <si>
    <t>J-025</t>
  </si>
  <si>
    <t>Pink Embroidered Liminal Unstitched 3Pc</t>
  </si>
  <si>
    <t>JLU264321U-PINK-3PS-REG</t>
  </si>
  <si>
    <t>J-026</t>
  </si>
  <si>
    <t>JLU264320U-PINK-3PS-REG</t>
  </si>
  <si>
    <t>J-027</t>
  </si>
  <si>
    <t>Blue Embroidered Liminal Unstitched 3Pc</t>
  </si>
  <si>
    <t>JLU264319U-BLUE-3PS-REG</t>
  </si>
  <si>
    <t>J-028</t>
  </si>
  <si>
    <t>Off White Embroidered Liminal Unstitched 3Pc</t>
  </si>
  <si>
    <t>JLU264317U-WHITE-3PS-REG</t>
  </si>
  <si>
    <t>J-029</t>
  </si>
  <si>
    <t>JLU264282U-BLUE-3PS-REG</t>
  </si>
  <si>
    <t>J-030</t>
  </si>
  <si>
    <t>JLU264281U-BLUE-3PS-REG</t>
  </si>
  <si>
    <t>J-031</t>
  </si>
  <si>
    <t>JLU264280U-BLUE-3PS-REG</t>
  </si>
  <si>
    <t>J-032</t>
  </si>
  <si>
    <t>Maroon Embroidered Liminal Unstitched 3Pc</t>
  </si>
  <si>
    <t>JLU264279U-RED-3PS-REG</t>
  </si>
  <si>
    <t>J-033</t>
  </si>
  <si>
    <t>Black Embroidered Liminal Unstitched 3Pc</t>
  </si>
  <si>
    <t>JLU264278U-BLACK-3PS-REG</t>
  </si>
  <si>
    <t>J-034</t>
  </si>
  <si>
    <t>JLU264276U-PINK-3PS-REG</t>
  </si>
  <si>
    <t>J-035</t>
  </si>
  <si>
    <t>Sea Green Embroidered Liminal Stitched 3Pc</t>
  </si>
  <si>
    <t>JLS26779S-GREEN-EXS-REG</t>
  </si>
  <si>
    <t>Women Ready to Wear</t>
  </si>
  <si>
    <t>J-036</t>
  </si>
  <si>
    <t>Sky Blue Embroidered Linen Co-Ord Set</t>
  </si>
  <si>
    <t>JST262471S-BLUE-EXS-REG</t>
  </si>
  <si>
    <t>J-037</t>
  </si>
  <si>
    <t>Beige Embroidered Jacquard Co-Ord Set</t>
  </si>
  <si>
    <t>JST262499S-BROWN-EXS-REG</t>
  </si>
  <si>
    <t>J-038</t>
  </si>
  <si>
    <t>Green Embroidered Jacquard Co-Ord Set</t>
  </si>
  <si>
    <t>JST262498S-GREEN-EXS-REG</t>
  </si>
  <si>
    <t>J-039</t>
  </si>
  <si>
    <t>Grey Embroidered Jacquard Co-Ord Set</t>
  </si>
  <si>
    <t>JST262497S-GREY-EXS-REG</t>
  </si>
  <si>
    <t>J-040</t>
  </si>
  <si>
    <t>Pink Embroidered Jacquard Co-Ord Set</t>
  </si>
  <si>
    <t>JST262496S-PINK-EXS-REG</t>
  </si>
  <si>
    <t>J-041</t>
  </si>
  <si>
    <t>Blue Embroidered Linen Co-Ord Set</t>
  </si>
  <si>
    <t>JST262470S-BLUE-EXS-REG</t>
  </si>
  <si>
    <t>J-042</t>
  </si>
  <si>
    <t>White Embroidered Linen Co-Ord Set</t>
  </si>
  <si>
    <t>JST262469S-WHITE-EXS-REG</t>
  </si>
  <si>
    <t>J-043</t>
  </si>
  <si>
    <t>Off White Embroidered Linen Co-Ord Set</t>
  </si>
  <si>
    <t>JST262468S-WHITE-EXS-REG</t>
  </si>
  <si>
    <t>J-044</t>
  </si>
  <si>
    <t>Light Beige Digital Printed Seersucker Co-Ord Set</t>
  </si>
  <si>
    <t>JST262465S-BROWN-EXS-REG</t>
  </si>
  <si>
    <t>J-045</t>
  </si>
  <si>
    <t>Black Yarn Dyed Jacquard Co-Ord Set</t>
  </si>
  <si>
    <t>JST262462S-BLACK-EXS-REG</t>
  </si>
  <si>
    <t>J-046</t>
  </si>
  <si>
    <t>Beige Embroidered Jacquard Stitched 3Pc</t>
  </si>
  <si>
    <t>JLS26788S-BROWN-EXS-REG</t>
  </si>
  <si>
    <t>J-047</t>
  </si>
  <si>
    <t>Coffee Embroidered Jacquard Stitched 3Pc</t>
  </si>
  <si>
    <t>JLS26787S-BROWN-EXS-REG</t>
  </si>
  <si>
    <t>J-048</t>
  </si>
  <si>
    <t>Red Embroidered Jacquard Stitched 3Pc</t>
  </si>
  <si>
    <t>JLS26786S-RED-EXS-REG</t>
  </si>
  <si>
    <t>J-049</t>
  </si>
  <si>
    <t>Blue Embroidered Jacquard Stitched 3Pc</t>
  </si>
  <si>
    <t>JLS26785S-BLUE-EXS-REG</t>
  </si>
  <si>
    <t>J-050</t>
  </si>
  <si>
    <t>Black Embroidered Liminal Stitched 3Pc</t>
  </si>
  <si>
    <t>JLS26784S-BLACK-EXS-REG</t>
  </si>
  <si>
    <t>J-051</t>
  </si>
  <si>
    <t>Teal Embroidered Liminal Stitched 3Pc</t>
  </si>
  <si>
    <t>JLS26783S-GREEN-EXS-REG</t>
  </si>
  <si>
    <t>J-052</t>
  </si>
  <si>
    <t>Beige Embroidered Liminal Stitched 3Pc</t>
  </si>
  <si>
    <t>JLS26782S-BROWN-EXS-REG</t>
  </si>
  <si>
    <t>J-053</t>
  </si>
  <si>
    <t>Green Embroidered Liminal Stitched 3Pc</t>
  </si>
  <si>
    <t>JLS26781S-GREEN-EXS-REG</t>
  </si>
  <si>
    <t>J-054</t>
  </si>
  <si>
    <t>JLS26780S-GREEN-EXS-REG</t>
  </si>
  <si>
    <t>J-055</t>
  </si>
  <si>
    <t>Light Pink Embroidered Cotton Viscose Stitched 3Pc</t>
  </si>
  <si>
    <t>JLS26763S-PINK-EXS-REG</t>
  </si>
  <si>
    <t>J-056</t>
  </si>
  <si>
    <t>Green Embroidered Lawn Stitched 3Pc</t>
  </si>
  <si>
    <t>JLS26672S-GREEN-EXS-REG</t>
  </si>
  <si>
    <t>J-057</t>
  </si>
  <si>
    <t>Beige Embroidered Lawn Stitched 3Pc</t>
  </si>
  <si>
    <t>JLS26671S-BROWN-EXS-REG</t>
  </si>
  <si>
    <t>J-058</t>
  </si>
  <si>
    <t>Pink Embroidered Lawn Stitched 3Pc</t>
  </si>
  <si>
    <t>JLS26669S-PINK-EXS-REG</t>
  </si>
  <si>
    <t>J-059</t>
  </si>
  <si>
    <t>Off White Cotton Viscose Embroidered Stitched 3Pc</t>
  </si>
  <si>
    <t>JLS26761S-WHITE-EXS-REG</t>
  </si>
  <si>
    <t>J-060</t>
  </si>
  <si>
    <t>Cream Seersucker Digital Printed Co-Ord Set</t>
  </si>
  <si>
    <t>JST262464S-YELLOW-EXS-REG</t>
  </si>
  <si>
    <t>J-061</t>
  </si>
  <si>
    <t>Light Blue Cotton Viscose Embroidered Stitched 3Pc</t>
  </si>
  <si>
    <t>JLS26764S-BLUE-EXS-REG</t>
  </si>
  <si>
    <t>J-062</t>
  </si>
  <si>
    <t>Black Seersucker Co-Ord Set</t>
  </si>
  <si>
    <t>JST262467S-BLACK-EXS-REG</t>
  </si>
  <si>
    <t>J-063</t>
  </si>
  <si>
    <t>JST262466S-YELLOW-EXS-REG</t>
  </si>
  <si>
    <t>J-064</t>
  </si>
  <si>
    <t>Off White Cambric Embroidered Stitched 2Pc</t>
  </si>
  <si>
    <t>JDS261172S-WHITE-00L-REG</t>
  </si>
  <si>
    <t>J-065</t>
  </si>
  <si>
    <t>Beige Jacquard Yarn Dyed Co-Ord Set</t>
  </si>
  <si>
    <t>JST262461S-BROWN-EXS-REG</t>
  </si>
  <si>
    <t>J-066</t>
  </si>
  <si>
    <t>Blue Jacquard Yarn Dyed Co-Ord Set</t>
  </si>
  <si>
    <t>JST262460S-BLUE-EXS-REG</t>
  </si>
  <si>
    <t>J-067</t>
  </si>
  <si>
    <t>Off White Raw Silk Embroidered Stitched 3Pc</t>
  </si>
  <si>
    <t>JPS264083S-WHITE-EXS-REG</t>
  </si>
  <si>
    <t>J-068</t>
  </si>
  <si>
    <t>Green Impure Chiffon Embroidered Stitched 3Pc</t>
  </si>
  <si>
    <t>JPS264078S-GREEN-EXS-REG</t>
  </si>
  <si>
    <t>J-069</t>
  </si>
  <si>
    <t>PINK ORGANZA EMBROIDERED FORMAL STITCHED 3PC</t>
  </si>
  <si>
    <t>JPS264088S-PINK-EXS-REG</t>
  </si>
  <si>
    <t>Women Formals</t>
  </si>
  <si>
    <t>J-070</t>
  </si>
  <si>
    <t>BEIGE RAW SILK EMBROIDERED FORMAL CO-ORD SET</t>
  </si>
  <si>
    <t>JPS264045S-BROWN-EXS-REG</t>
  </si>
  <si>
    <t>J-071</t>
  </si>
  <si>
    <t>LILAC RAW SILK EMBROIDERED CO-ORD SET</t>
  </si>
  <si>
    <t>JPS263996S-PURPLE-EXS-REG</t>
  </si>
  <si>
    <t>J-072</t>
  </si>
  <si>
    <t>LILAC RAW SILK EMBROIDERED STITCHED 3PC</t>
  </si>
  <si>
    <t>JPS264015S-PURPLE-EXS-REG</t>
  </si>
  <si>
    <t>J-073</t>
  </si>
  <si>
    <t>BLACK RAW SILK EMBROIDERED CO-ORD SET</t>
  </si>
  <si>
    <t>JPS264043S-BLACK-EXS-REG</t>
  </si>
  <si>
    <t>J-074</t>
  </si>
  <si>
    <t>BLUE IMPURE CHIFFON EMBROIDERED STITCHED 3PC</t>
  </si>
  <si>
    <t>JPS264005S-BLUE-EXS-REG</t>
  </si>
  <si>
    <t>J-075</t>
  </si>
  <si>
    <t>MUSTARD MAPLE SILK EMBROIDERED CO-ORD SET</t>
  </si>
  <si>
    <t>JPS263998S-BROWN-EXS-REG</t>
  </si>
  <si>
    <t>J-076</t>
  </si>
  <si>
    <t>BEIGE PAPER COTTON EMBROIDERED CO-ORD SET</t>
  </si>
  <si>
    <t>JPS264044S-BROWN-EXS-REG</t>
  </si>
  <si>
    <t>J-077</t>
  </si>
  <si>
    <t>WHITE RAW SILK EMBROIDERED STITCHED 3PC</t>
  </si>
  <si>
    <t>JPS264014S-WHITE-EXS-REG</t>
  </si>
  <si>
    <t>J-078</t>
  </si>
  <si>
    <t>MAROON PAPER COTTON EMBROIDERED STITCHED 3PC</t>
  </si>
  <si>
    <t>JPS264022S-RED-EXS-REG</t>
  </si>
  <si>
    <t>J-079</t>
  </si>
  <si>
    <t>PINK RAW SILK EMBROIDERED CO-ORD SET</t>
  </si>
  <si>
    <t>JPS263997S-PINK-EXS-REG</t>
  </si>
  <si>
    <t>J-080</t>
  </si>
  <si>
    <t>PINK COTTON NET EMBROIDERED FORMAL CO-ORD SET</t>
  </si>
  <si>
    <t>JPS264047S-PINK-EXS-REG</t>
  </si>
  <si>
    <t>J-081</t>
  </si>
  <si>
    <t>BROWN COTTON NET EMBROIDERED FORMAL CO-ORD SET</t>
  </si>
  <si>
    <t>JPS264048S-BROWN-EXS-REG</t>
  </si>
  <si>
    <t>J-082</t>
  </si>
  <si>
    <t>MAROON EMBROIDERED CHIFFON UNSTITCHED 3PC</t>
  </si>
  <si>
    <t>JFU25715U-RED-3PS-REG</t>
  </si>
  <si>
    <t>On Sale</t>
  </si>
  <si>
    <t>High (40-59%)</t>
  </si>
  <si>
    <t>J-083</t>
  </si>
  <si>
    <t>GREY EMBROIDERED CHIFFON 3PC STITCHED</t>
  </si>
  <si>
    <t>JPS253971S-GREY-EXS-REG</t>
  </si>
  <si>
    <t>J-084</t>
  </si>
  <si>
    <t>GREY CHIFFON EMBROIDERED 3PC STITCHED</t>
  </si>
  <si>
    <t>JPS253938S-GREY-EXS-REG</t>
  </si>
  <si>
    <t>J-085</t>
  </si>
  <si>
    <t>BLACK KHADDI EMBROIDERED 3PC STITCHED</t>
  </si>
  <si>
    <t>JW241766S-BLACK-EXS-REG</t>
  </si>
  <si>
    <t>Medium (20-39%)</t>
  </si>
  <si>
    <t>J-086</t>
  </si>
  <si>
    <t>GREEN SILK PRINTED 2PC STITCHED</t>
  </si>
  <si>
    <t>jw2242024S-GREEN-EXS-REG</t>
  </si>
  <si>
    <t>Very High (60%+)</t>
  </si>
  <si>
    <t>J-087</t>
  </si>
  <si>
    <t>BLUE RAW SILK EMBROIDERED CO-ORD SET</t>
  </si>
  <si>
    <t>JPS264002S-BLUE-EXS-REG</t>
  </si>
  <si>
    <t>J-088</t>
  </si>
  <si>
    <t>GREEN DOBBY EMBROIDERED STITCHED 3PC</t>
  </si>
  <si>
    <t>JPS264024S-GREEN-EXS-REG</t>
  </si>
  <si>
    <t>J-089</t>
  </si>
  <si>
    <t>JPS264027S-WHITE-EXS-REG</t>
  </si>
  <si>
    <t>J-090</t>
  </si>
  <si>
    <t>MAROON KHADDI EMBROIDERED STITCHED 3PC</t>
  </si>
  <si>
    <t>JPS264032S-RED-EXS-REG</t>
  </si>
  <si>
    <t>J-091</t>
  </si>
  <si>
    <t>BLUE RAW SILK EMBROIDERED STITCHED 3PC</t>
  </si>
  <si>
    <t>JPS264007S-BLUE-EXS-REG</t>
  </si>
  <si>
    <t>J-092</t>
  </si>
  <si>
    <t>JPS264026S-GREEN-EXS-REG</t>
  </si>
  <si>
    <t>J-093</t>
  </si>
  <si>
    <t>PINK COTTON NET EMBROIDERED STITCHED 3PC</t>
  </si>
  <si>
    <t>JPS264036S-PINK-EXS-REG</t>
  </si>
  <si>
    <t>J-094</t>
  </si>
  <si>
    <t>BLUE POLYNET EMBROIDERED STITCHED 3PC</t>
  </si>
  <si>
    <t>JPS264029S-BLUE-EXS-REG</t>
  </si>
  <si>
    <t>J-095</t>
  </si>
  <si>
    <t>Sea Green Polynet Embroidered Stitched 3Pc</t>
  </si>
  <si>
    <t>JPS264077S-GREEN-EXS-REG</t>
  </si>
  <si>
    <t>J-096</t>
  </si>
  <si>
    <t>Light Pink Raw Silk Embroidered Co-Ord Set</t>
  </si>
  <si>
    <t>JPS264051S-PINK-EXS-REG</t>
  </si>
  <si>
    <t>J-097</t>
  </si>
  <si>
    <t>GOLDEN RAW SILK EMBROIDERED STITCHED 3PC</t>
  </si>
  <si>
    <t>JPS264008S-GOLD-EXS-REG</t>
  </si>
  <si>
    <t>J-098</t>
  </si>
  <si>
    <t>SILVER EMBROIDERED STITCHED 3PC</t>
  </si>
  <si>
    <t>JPS264063S-SILVER-EXS-REG</t>
  </si>
  <si>
    <t>J-099</t>
  </si>
  <si>
    <t>GREEN RAW SILK EMBROIDERED STITCHED 3PC</t>
  </si>
  <si>
    <t>JPS264080S-GREEN-EXS-REG</t>
  </si>
  <si>
    <t>J-100</t>
  </si>
  <si>
    <t>Light Blue Raw Silk Embroidered Co-Ord Set</t>
  </si>
  <si>
    <t>JPS264050S-BLUE-EXS-REG</t>
  </si>
  <si>
    <t>MAR-001</t>
  </si>
  <si>
    <t>3 Piece Embroidered Chiffon Suit</t>
  </si>
  <si>
    <t>MP26012-999-AUG</t>
  </si>
  <si>
    <t>MAR-002</t>
  </si>
  <si>
    <t>MP26022-999-ORB</t>
  </si>
  <si>
    <t>MAR-003</t>
  </si>
  <si>
    <t>MP26032-999-WBE</t>
  </si>
  <si>
    <t>MAR-004</t>
  </si>
  <si>
    <t>MP26052-999-MTD</t>
  </si>
  <si>
    <t>MAR-005</t>
  </si>
  <si>
    <t>MP26062-999-MTB</t>
  </si>
  <si>
    <t>MAR-006</t>
  </si>
  <si>
    <t>MP26082-999-PTS</t>
  </si>
  <si>
    <t>MAR-007</t>
  </si>
  <si>
    <t>3 Piece Unstitched Embroidered Lawn Suit</t>
  </si>
  <si>
    <t>EL02615-999-AQA</t>
  </si>
  <si>
    <t>MAR-008</t>
  </si>
  <si>
    <t>EL02614-999-PRP</t>
  </si>
  <si>
    <t>MAR-009</t>
  </si>
  <si>
    <t>EL02613-999-0RT</t>
  </si>
  <si>
    <t>MAR-010</t>
  </si>
  <si>
    <t>EL02612-999-LIA</t>
  </si>
  <si>
    <t>MAR-011</t>
  </si>
  <si>
    <t>3 Piece Unstitched Embroidered Jacquard Lawn Suit</t>
  </si>
  <si>
    <t>EL02611-999-SAB</t>
  </si>
  <si>
    <t>MAR-012</t>
  </si>
  <si>
    <t>EL02610-999-BLK</t>
  </si>
  <si>
    <t>MAR-013</t>
  </si>
  <si>
    <t>EL02609-999-PLP</t>
  </si>
  <si>
    <t>MAR-014</t>
  </si>
  <si>
    <t>EL02607-999-MTD</t>
  </si>
  <si>
    <t>MAR-015</t>
  </si>
  <si>
    <t>EL02606-999-TEL</t>
  </si>
  <si>
    <t>MAR-016</t>
  </si>
  <si>
    <t>EL02605-999-RRD</t>
  </si>
  <si>
    <t>MAR-017</t>
  </si>
  <si>
    <t>EL02604-999-EGR</t>
  </si>
  <si>
    <t>MAR-018</t>
  </si>
  <si>
    <t>EL02603-999-OFW</t>
  </si>
  <si>
    <t>MAR-019</t>
  </si>
  <si>
    <t>EL02601-999-IRY</t>
  </si>
  <si>
    <t>MAR-020</t>
  </si>
  <si>
    <t>3 Piece Unstitched Embroidered Jacquard Suit</t>
  </si>
  <si>
    <t>MPA3002-999-00A</t>
  </si>
  <si>
    <t>MAR-021</t>
  </si>
  <si>
    <t>MPB3002-999-00B</t>
  </si>
  <si>
    <t>MAR-022</t>
  </si>
  <si>
    <t>MPA3003-999-00A</t>
  </si>
  <si>
    <t>MAR-023</t>
  </si>
  <si>
    <t>MPB3003-999-00B</t>
  </si>
  <si>
    <t>MAR-024</t>
  </si>
  <si>
    <t>MPB3004-999-00B</t>
  </si>
  <si>
    <t>MAR-025</t>
  </si>
  <si>
    <t>MPA3005-999-00A</t>
  </si>
  <si>
    <t>MAR-026</t>
  </si>
  <si>
    <t>3 Piece Embroidered Lawn Suit</t>
  </si>
  <si>
    <t>UPF262A-SML-00A</t>
  </si>
  <si>
    <t>Low (1-19%)</t>
  </si>
  <si>
    <t>MAR-027</t>
  </si>
  <si>
    <t>3 Piece Embroidered Dobby Lawn Suit</t>
  </si>
  <si>
    <t>UF2635B-SML-00B</t>
  </si>
  <si>
    <t>MAR-028</t>
  </si>
  <si>
    <t>UF2635A-SML-00A</t>
  </si>
  <si>
    <t>MAR-029</t>
  </si>
  <si>
    <t>2 Piece Embroidered Lawn Suit</t>
  </si>
  <si>
    <t>UF2634A-SML-00A</t>
  </si>
  <si>
    <t>MAR-030</t>
  </si>
  <si>
    <t>3 Piece Embroidered Paper Cotton Suit</t>
  </si>
  <si>
    <t>UF2633A-SML-00A</t>
  </si>
  <si>
    <t>MAR-031</t>
  </si>
  <si>
    <t>UF2625A-SML-00A</t>
  </si>
  <si>
    <t>MAR-032</t>
  </si>
  <si>
    <t>UF2621A-SML-00A</t>
  </si>
  <si>
    <t>MAR-033</t>
  </si>
  <si>
    <t>2 Piece Embroidered Brochia Suit</t>
  </si>
  <si>
    <t>UF2619A-SML-00A</t>
  </si>
  <si>
    <t>MAR-034</t>
  </si>
  <si>
    <t>3 Piece Printed Lawn Suit</t>
  </si>
  <si>
    <t>UPF267B-SML-00B</t>
  </si>
  <si>
    <t>MAR-035</t>
  </si>
  <si>
    <t>UPF267A-SML-00A</t>
  </si>
  <si>
    <t>MAR-036</t>
  </si>
  <si>
    <t>UPF265A-SML-00A</t>
  </si>
  <si>
    <t>MAR-037</t>
  </si>
  <si>
    <t>UPF263A-SML-00A</t>
  </si>
  <si>
    <t>MAR-038</t>
  </si>
  <si>
    <t>UF2618A-SML-00A</t>
  </si>
  <si>
    <t>MAR-039</t>
  </si>
  <si>
    <t>UF2617A-SML-00A</t>
  </si>
  <si>
    <t>MAR-040</t>
  </si>
  <si>
    <t>UF2615A-SML-00A</t>
  </si>
  <si>
    <t>MAR-041</t>
  </si>
  <si>
    <t>ELS2615-SML-AQA</t>
  </si>
  <si>
    <t>MAR-042</t>
  </si>
  <si>
    <t>ELS2614-SML-PRP</t>
  </si>
  <si>
    <t>MAR-043</t>
  </si>
  <si>
    <t>ELS2613-SML-0RT</t>
  </si>
  <si>
    <t>MAR-044</t>
  </si>
  <si>
    <t>3 Piece Embroidered Jacquard Lawn Suit</t>
  </si>
  <si>
    <t>ELSB611-SML-SAB</t>
  </si>
  <si>
    <t>MAR-045</t>
  </si>
  <si>
    <t>ELSA611-SML-SAB</t>
  </si>
  <si>
    <t>MAR-046</t>
  </si>
  <si>
    <t>ELSA610-SML-BLK</t>
  </si>
  <si>
    <t>MAR-047</t>
  </si>
  <si>
    <t>ELS2609-SML-PLP</t>
  </si>
  <si>
    <t>MAR-048</t>
  </si>
  <si>
    <t>ELS2607-SML-MTD</t>
  </si>
  <si>
    <t>MAR-049</t>
  </si>
  <si>
    <t>ELS2606-SML-TEL</t>
  </si>
  <si>
    <t>MAR-050</t>
  </si>
  <si>
    <t>ELS2605-SML-RRD</t>
  </si>
  <si>
    <t>MAR-051</t>
  </si>
  <si>
    <t>DWF29R1-ESM-BPT</t>
  </si>
  <si>
    <t>MAR-052</t>
  </si>
  <si>
    <t>DWE2661-ESM-BLK</t>
  </si>
  <si>
    <t>MAR-053</t>
  </si>
  <si>
    <t>2 Piece Embroidered Raw Silk Suit</t>
  </si>
  <si>
    <t>DWE2614-ESM-BLK</t>
  </si>
  <si>
    <t>MAR-054</t>
  </si>
  <si>
    <t>DWE2663-ESM-GRN</t>
  </si>
  <si>
    <t>MAR-055</t>
  </si>
  <si>
    <t>DWE01R1-ESM-RED</t>
  </si>
  <si>
    <t>MAR-056</t>
  </si>
  <si>
    <t>3 Piece Embellished Cotton Net Suit</t>
  </si>
  <si>
    <t>DWA2519-ESM-PNK</t>
  </si>
  <si>
    <t>MAR-057</t>
  </si>
  <si>
    <t>DWE2605-ESM-BLU</t>
  </si>
  <si>
    <t>MAR-058</t>
  </si>
  <si>
    <t>3 Piece Embroidered Self Jacquard Suit</t>
  </si>
  <si>
    <t>DW117R1-ESM-COF</t>
  </si>
  <si>
    <t>MAR-059</t>
  </si>
  <si>
    <t>DW108R1-ESM-PRP</t>
  </si>
  <si>
    <t>MAR-060</t>
  </si>
  <si>
    <t>DWE2662-ESM-OFW</t>
  </si>
  <si>
    <t>MAR-061</t>
  </si>
  <si>
    <t>DWE2623-ESM-OFW</t>
  </si>
  <si>
    <t>MAR-062</t>
  </si>
  <si>
    <t>DW117R1-ESM-BLK</t>
  </si>
  <si>
    <t>MAR-063</t>
  </si>
  <si>
    <t>3 Piece Embroidered Dobby Suit</t>
  </si>
  <si>
    <t>DWE30R1-ESM-WHT</t>
  </si>
  <si>
    <t>MAR-064</t>
  </si>
  <si>
    <t>DWF2401-ESM-PNK</t>
  </si>
  <si>
    <t>MAR-065</t>
  </si>
  <si>
    <t>DW233R1-ESM-OFW</t>
  </si>
  <si>
    <t>MAR-066</t>
  </si>
  <si>
    <t>2 Piece Printed Lawn Suit</t>
  </si>
  <si>
    <t>PSPF249-ESM-RED</t>
  </si>
  <si>
    <t>MAR-067</t>
  </si>
  <si>
    <t>PSPF249-ESM-BLK</t>
  </si>
  <si>
    <t>MAR-068</t>
  </si>
  <si>
    <t>PSPF242-ESM-OFW</t>
  </si>
  <si>
    <t>MAR-069</t>
  </si>
  <si>
    <t>PSPF242-ESM-BEG</t>
  </si>
  <si>
    <t>MAR-070</t>
  </si>
  <si>
    <t>PSPF241-ESM-OFW</t>
  </si>
  <si>
    <t>MAR-071</t>
  </si>
  <si>
    <t>PSPF241-ESM-BEG</t>
  </si>
  <si>
    <t>MAR-072</t>
  </si>
  <si>
    <t>3 Piece Embroidered Cotton Net Suit</t>
  </si>
  <si>
    <t>DWF88R1-ESM-PCH</t>
  </si>
  <si>
    <t>MAR-073</t>
  </si>
  <si>
    <t>3 Piece Embroidered Double Warp Silk Suit</t>
  </si>
  <si>
    <t>DWE2658-ESM-MRN</t>
  </si>
  <si>
    <t>MAR-074</t>
  </si>
  <si>
    <t>DW26200-ESM-BLU</t>
  </si>
  <si>
    <t>MAR-075</t>
  </si>
  <si>
    <t>DWE2607-ESM-TEL</t>
  </si>
  <si>
    <t>MAR-076</t>
  </si>
  <si>
    <t>3 Piece Embroidered Raw Silk Suit</t>
  </si>
  <si>
    <t>SFA2624-ESM-LYL</t>
  </si>
  <si>
    <t>Luxury Formals</t>
  </si>
  <si>
    <t>MAR-077</t>
  </si>
  <si>
    <t>3 Piece Embroidered Organza Suit</t>
  </si>
  <si>
    <t>S2505R1-ESM-OFW</t>
  </si>
  <si>
    <t>MAR-078</t>
  </si>
  <si>
    <t>3 Piece Embroidered Zari Net Suit</t>
  </si>
  <si>
    <t>SFW2537-ESM-PRP</t>
  </si>
  <si>
    <t>MAR-079</t>
  </si>
  <si>
    <t>3 Piece Embroidered Net Suit</t>
  </si>
  <si>
    <t>SFW2524-ESM-SGR</t>
  </si>
  <si>
    <t>MAR-080</t>
  </si>
  <si>
    <t>Embellished Charmeuse Saree</t>
  </si>
  <si>
    <t>SFP2608-ESM-OFW</t>
  </si>
  <si>
    <t>Saree</t>
  </si>
  <si>
    <t>MAR-081</t>
  </si>
  <si>
    <t>SFP2608-ESM-AQA</t>
  </si>
  <si>
    <t>MAR-082</t>
  </si>
  <si>
    <t>SFA2624-ESM-IBU</t>
  </si>
  <si>
    <t>MAR-083</t>
  </si>
  <si>
    <t>S2518R1-ESM-SKN</t>
  </si>
  <si>
    <t>MAR-084</t>
  </si>
  <si>
    <t>SFP2610-ESM-PNK</t>
  </si>
  <si>
    <t>MAR-085</t>
  </si>
  <si>
    <t>SFE2627-ESM-TEL</t>
  </si>
  <si>
    <t>MAR-086</t>
  </si>
  <si>
    <t>3 Piece Embroidered Tissue Silk Suit</t>
  </si>
  <si>
    <t>SFA2637-ESM-GRY</t>
  </si>
  <si>
    <t>MAR-087</t>
  </si>
  <si>
    <t>SFA2612-ESM-PNK</t>
  </si>
  <si>
    <t>MAR-088</t>
  </si>
  <si>
    <t>SFP2603-ESM-GRN</t>
  </si>
  <si>
    <t>MAR-089</t>
  </si>
  <si>
    <t>Embellished Chiffon Saree</t>
  </si>
  <si>
    <t>SFP2602-ESM-BLK</t>
  </si>
  <si>
    <t>MAR-090</t>
  </si>
  <si>
    <t>SFA2612-ESM-BLU</t>
  </si>
  <si>
    <t>MAR-091</t>
  </si>
  <si>
    <t>SFP2603-ESM-MTD</t>
  </si>
  <si>
    <t>MAR-092</t>
  </si>
  <si>
    <t>SFP2602-ESM-GRY</t>
  </si>
  <si>
    <t>MAR-093</t>
  </si>
  <si>
    <t>SFA2637-ESM-PNK</t>
  </si>
  <si>
    <t>MAR-094</t>
  </si>
  <si>
    <t>S2502R1-ESM-PNK</t>
  </si>
  <si>
    <t>MAR-095</t>
  </si>
  <si>
    <t>SFE2661-ESM-BRN</t>
  </si>
  <si>
    <t>MAR-096</t>
  </si>
  <si>
    <t>SFE2627-ESM-MRN</t>
  </si>
  <si>
    <t>MAR-097</t>
  </si>
  <si>
    <t>SFA2621-ESM-ORG</t>
  </si>
  <si>
    <t>MAR-098</t>
  </si>
  <si>
    <t>3 Piece Embroidered Self Tassel Silk Suit</t>
  </si>
  <si>
    <t>MST2610-ESM-GRY</t>
  </si>
  <si>
    <t>MAR-099</t>
  </si>
  <si>
    <t>3 Piece Embroidered Cotton Lurex Suit</t>
  </si>
  <si>
    <t>SFE2630-ESM-SGR</t>
  </si>
  <si>
    <t>MAR-100</t>
  </si>
  <si>
    <t>SFE2630-ESM-OFW</t>
  </si>
  <si>
    <t>SAN-001</t>
  </si>
  <si>
    <t>Unstitched Printed 3 Piece Lawn Suit</t>
  </si>
  <si>
    <t>1000000094217</t>
  </si>
  <si>
    <t>Unstitched Fabric</t>
  </si>
  <si>
    <t>SAN-002</t>
  </si>
  <si>
    <t>1000000094216</t>
  </si>
  <si>
    <t>SAN-003</t>
  </si>
  <si>
    <t>1000000094215</t>
  </si>
  <si>
    <t>SAN-004</t>
  </si>
  <si>
    <t>1000000094214</t>
  </si>
  <si>
    <t>SAN-005</t>
  </si>
  <si>
    <t>1000000094213</t>
  </si>
  <si>
    <t>SAN-006</t>
  </si>
  <si>
    <t>1000000094212</t>
  </si>
  <si>
    <t>SAN-007</t>
  </si>
  <si>
    <t>1000000094211</t>
  </si>
  <si>
    <t>SAN-008</t>
  </si>
  <si>
    <t>1000000094210</t>
  </si>
  <si>
    <t>SAN-009</t>
  </si>
  <si>
    <t>Unstitched Printed 2 Piece Lawn Suit</t>
  </si>
  <si>
    <t>1000000094209</t>
  </si>
  <si>
    <t>SAN-010</t>
  </si>
  <si>
    <t>1000000094208</t>
  </si>
  <si>
    <t>SAN-011</t>
  </si>
  <si>
    <t>1000000094206</t>
  </si>
  <si>
    <t>SAN-012</t>
  </si>
  <si>
    <t>1000000094205</t>
  </si>
  <si>
    <t>SAN-013</t>
  </si>
  <si>
    <t>1000000094204</t>
  </si>
  <si>
    <t>SAN-014</t>
  </si>
  <si>
    <t>1000000094203</t>
  </si>
  <si>
    <t>SAN-015</t>
  </si>
  <si>
    <t>1000000094202</t>
  </si>
  <si>
    <t>SAN-016</t>
  </si>
  <si>
    <t>1000000094201</t>
  </si>
  <si>
    <t>SAN-017</t>
  </si>
  <si>
    <t>1000000094200</t>
  </si>
  <si>
    <t>SAN-018</t>
  </si>
  <si>
    <t>1000000094199</t>
  </si>
  <si>
    <t>SAN-019</t>
  </si>
  <si>
    <t>1000000094198</t>
  </si>
  <si>
    <t>SAN-020</t>
  </si>
  <si>
    <t>Unstitched Embroidered 3 Piece Muzlin Suit</t>
  </si>
  <si>
    <t>1000000093668</t>
  </si>
  <si>
    <t>SAN-021</t>
  </si>
  <si>
    <t>1000000093667</t>
  </si>
  <si>
    <t>SAN-022</t>
  </si>
  <si>
    <t>1000000093666</t>
  </si>
  <si>
    <t>SAN-023</t>
  </si>
  <si>
    <t>1000000093665</t>
  </si>
  <si>
    <t>SAN-024</t>
  </si>
  <si>
    <t>1000000093664</t>
  </si>
  <si>
    <t>SAN-025</t>
  </si>
  <si>
    <t>1000000093663</t>
  </si>
  <si>
    <t>SAN-026</t>
  </si>
  <si>
    <t>Stitched Embroidered Lawn Suit</t>
  </si>
  <si>
    <t>1000000093850</t>
  </si>
  <si>
    <t>Ready to Wear</t>
  </si>
  <si>
    <t>SAN-027</t>
  </si>
  <si>
    <t>1000000095078</t>
  </si>
  <si>
    <t>SAN-028</t>
  </si>
  <si>
    <t>Stitched Embroidered Lawn Shirt+ Shalwar</t>
  </si>
  <si>
    <t>1000000095090</t>
  </si>
  <si>
    <t>SAN-029</t>
  </si>
  <si>
    <t>1000000095096</t>
  </si>
  <si>
    <t>SAN-030</t>
  </si>
  <si>
    <t>1000000094845</t>
  </si>
  <si>
    <t>SAN-031</t>
  </si>
  <si>
    <t>Stitched Embroidered Lawn Shirt+ Culotte</t>
  </si>
  <si>
    <t>1000000095060</t>
  </si>
  <si>
    <t>SAN-032</t>
  </si>
  <si>
    <t>1000000094956</t>
  </si>
  <si>
    <t>SAN-033</t>
  </si>
  <si>
    <t>1000000094678</t>
  </si>
  <si>
    <t>SAN-034</t>
  </si>
  <si>
    <t>Stitched Embroidered Cambric Shirt+ Shalwar</t>
  </si>
  <si>
    <t>1000000094885</t>
  </si>
  <si>
    <t>SAN-035</t>
  </si>
  <si>
    <t>1000000093773</t>
  </si>
  <si>
    <t>SAN-036</t>
  </si>
  <si>
    <t>1000000094833</t>
  </si>
  <si>
    <t>SAN-037</t>
  </si>
  <si>
    <t>1000000094746</t>
  </si>
  <si>
    <t>SAN-038</t>
  </si>
  <si>
    <t>1000000094752</t>
  </si>
  <si>
    <t>SAN-039</t>
  </si>
  <si>
    <t>Stitched Embroidered Chambray Shirt+ Culotte</t>
  </si>
  <si>
    <t>1000000095023</t>
  </si>
  <si>
    <t>SAN-040</t>
  </si>
  <si>
    <t>Stitched Printed Lawn Suit</t>
  </si>
  <si>
    <t>1000000095009</t>
  </si>
  <si>
    <t>SAN-041</t>
  </si>
  <si>
    <t>Stitched Embroidered Raw Silk Shirt+ Culotte</t>
  </si>
  <si>
    <t>1000000095047</t>
  </si>
  <si>
    <t>SAN-042</t>
  </si>
  <si>
    <t>Stitched Printed Fancy Dobby Shirt+ Shalwar</t>
  </si>
  <si>
    <t>1000000095017</t>
  </si>
  <si>
    <t>SAN-043</t>
  </si>
  <si>
    <t>1000000095084</t>
  </si>
  <si>
    <t>SAN-044</t>
  </si>
  <si>
    <t>Stitched Printed Lawn Shirt+ Culotte</t>
  </si>
  <si>
    <t>1000000095066</t>
  </si>
  <si>
    <t>SAN-045</t>
  </si>
  <si>
    <t>Stitched Printed Cambric Shirt+ Dupatta</t>
  </si>
  <si>
    <t>1000000094824</t>
  </si>
  <si>
    <t>Shirt + Dupatta</t>
  </si>
  <si>
    <t>SAN-046</t>
  </si>
  <si>
    <t>1000000094811</t>
  </si>
  <si>
    <t>SAN-047</t>
  </si>
  <si>
    <t>Stitched Printed Satin Shirt+ Shalwar</t>
  </si>
  <si>
    <t>1000000094583</t>
  </si>
  <si>
    <t>SAN-048</t>
  </si>
  <si>
    <t>Stitched Embroidered Raw Silk Suit</t>
  </si>
  <si>
    <t>1000000094637</t>
  </si>
  <si>
    <t>SAN-049</t>
  </si>
  <si>
    <t>Stitched Printed Satin Shirt+ Culotte</t>
  </si>
  <si>
    <t>1000000094534</t>
  </si>
  <si>
    <t>SAN-050</t>
  </si>
  <si>
    <t>Stitched Printed Satin Shirt+ Dupatta</t>
  </si>
  <si>
    <t>1000000094829</t>
  </si>
  <si>
    <t>SAN-051</t>
  </si>
  <si>
    <t>Stitched Luxury Embroidered Long Shirt + Bottom + Dupatta</t>
  </si>
  <si>
    <t>1000000086262</t>
  </si>
  <si>
    <t>SAN-052</t>
  </si>
  <si>
    <t>Stitched Luxury Shirt + Shalwar</t>
  </si>
  <si>
    <t>1000000084029</t>
  </si>
  <si>
    <t>SAN-053</t>
  </si>
  <si>
    <t>Stitched Luxury Dupatta</t>
  </si>
  <si>
    <t>1000000084306</t>
  </si>
  <si>
    <t>SAN-054</t>
  </si>
  <si>
    <t>Stitched Luxury Printed Shirt + Bottom</t>
  </si>
  <si>
    <t>1000000082712</t>
  </si>
  <si>
    <t>SAN-055</t>
  </si>
  <si>
    <t>1000000083104</t>
  </si>
  <si>
    <t>SAN-056</t>
  </si>
  <si>
    <t>1000000083523</t>
  </si>
  <si>
    <t>SAN-057</t>
  </si>
  <si>
    <t>RC24-D-17T</t>
  </si>
  <si>
    <t>1000000077353</t>
  </si>
  <si>
    <t>SAN-058</t>
  </si>
  <si>
    <t>RC24-D-17S</t>
  </si>
  <si>
    <t>1000000077350</t>
  </si>
  <si>
    <t>SAN-059</t>
  </si>
  <si>
    <t>RC24-D-15T</t>
  </si>
  <si>
    <t>1000000077323</t>
  </si>
  <si>
    <t>SAN-060</t>
  </si>
  <si>
    <t>RC24-D-15S</t>
  </si>
  <si>
    <t>1000000077318</t>
  </si>
  <si>
    <t>SAN-061</t>
  </si>
  <si>
    <t>RC24-D-12T</t>
  </si>
  <si>
    <t>1000000077343</t>
  </si>
  <si>
    <t>SAN-062</t>
  </si>
  <si>
    <t>RC24-D-06T</t>
  </si>
  <si>
    <t>1000000077253</t>
  </si>
  <si>
    <t>SAN-063</t>
  </si>
  <si>
    <t>RC24-D-06S</t>
  </si>
  <si>
    <t>1000000077248</t>
  </si>
  <si>
    <t>SAN-064</t>
  </si>
  <si>
    <t>Stitched A-Line Luxury Pret Shirt + Bottom</t>
  </si>
  <si>
    <t>1000000080838</t>
  </si>
  <si>
    <t>SAN-065</t>
  </si>
  <si>
    <t>Stitched Luxury Pret Shirt + Bottom</t>
  </si>
  <si>
    <t>1000000080156</t>
  </si>
  <si>
    <t>SAN-066</t>
  </si>
  <si>
    <t>RC24-D-03T</t>
  </si>
  <si>
    <t>1000000077313</t>
  </si>
  <si>
    <t>SAN-067</t>
  </si>
  <si>
    <t>Stitched Luxury Embroidered Suit</t>
  </si>
  <si>
    <t>1000000084298</t>
  </si>
  <si>
    <t>SAN-068</t>
  </si>
  <si>
    <t>RC24-D-07T</t>
  </si>
  <si>
    <t>1000000077333</t>
  </si>
  <si>
    <t>SAN-069</t>
  </si>
  <si>
    <t>RC24-D-10T</t>
  </si>
  <si>
    <t>1000000077283</t>
  </si>
  <si>
    <t>SAN-070</t>
  </si>
  <si>
    <t>RC24-D-21S</t>
  </si>
  <si>
    <t>1000000077403</t>
  </si>
  <si>
    <t>SAN-071</t>
  </si>
  <si>
    <t>Stitched Resort Set</t>
  </si>
  <si>
    <t>1000000085019</t>
  </si>
  <si>
    <t>SAN-072</t>
  </si>
  <si>
    <t>Stitched Resort Co-ord</t>
  </si>
  <si>
    <t>1000000084222</t>
  </si>
  <si>
    <t>SAN-073</t>
  </si>
  <si>
    <t>1000000084989</t>
  </si>
  <si>
    <t>SAN-074</t>
  </si>
  <si>
    <t>Stitched Resort Coord</t>
  </si>
  <si>
    <t>1000000082953</t>
  </si>
  <si>
    <t>SAN-075</t>
  </si>
  <si>
    <t>Stitched Resort Shirt + Bottom</t>
  </si>
  <si>
    <t>1000000082962</t>
  </si>
  <si>
    <t>SAN-076</t>
  </si>
  <si>
    <t>SS24FOR220P2T</t>
  </si>
  <si>
    <t>1000000068870</t>
  </si>
  <si>
    <t>Formals</t>
  </si>
  <si>
    <t>SAN-077</t>
  </si>
  <si>
    <t>Luxury Dupatta</t>
  </si>
  <si>
    <t>1000000081566</t>
  </si>
  <si>
    <t>SAN-078</t>
  </si>
  <si>
    <t>FW24FOR317P3</t>
  </si>
  <si>
    <t>1000000078382</t>
  </si>
  <si>
    <t>SAN-079</t>
  </si>
  <si>
    <t>Stitched Luxury Embroidered Sleeveless Shirt + Bottom + Dupatta</t>
  </si>
  <si>
    <t>1000000086500</t>
  </si>
  <si>
    <t>SAN-080</t>
  </si>
  <si>
    <t>Stitched Luxury Printed Jacket &amp; Bottom</t>
  </si>
  <si>
    <t>1000000082027</t>
  </si>
  <si>
    <t>SAN-081</t>
  </si>
  <si>
    <t>SS24FOR253P2T</t>
  </si>
  <si>
    <t>1000000073495</t>
  </si>
  <si>
    <t>Region</t>
  </si>
  <si>
    <t>Weather_Date</t>
  </si>
  <si>
    <t>Temperature_C</t>
  </si>
  <si>
    <t>Weather_Condition</t>
  </si>
  <si>
    <t>Weather_Code</t>
  </si>
  <si>
    <t>Max_Temperature_C</t>
  </si>
  <si>
    <t>Min_Temperature_C</t>
  </si>
  <si>
    <t>Humidity_Percent</t>
  </si>
  <si>
    <t>Precipitation_mm</t>
  </si>
  <si>
    <t>Wind_Speed_kmh</t>
  </si>
  <si>
    <t>Source</t>
  </si>
  <si>
    <t>Peshawar, Pakistan</t>
  </si>
  <si>
    <t>Clear</t>
  </si>
  <si>
    <t>Open-Meteo API</t>
  </si>
  <si>
    <t>Month</t>
  </si>
  <si>
    <t>Avg_Max_Temperature_C</t>
  </si>
  <si>
    <t>Avg_Min_Temperature_C</t>
  </si>
  <si>
    <t>Total_Precipitation_mm</t>
  </si>
  <si>
    <t>2026-02</t>
  </si>
  <si>
    <t>2026-03</t>
  </si>
  <si>
    <t>2026-04</t>
  </si>
  <si>
    <t>2026-05</t>
  </si>
  <si>
    <t>2026-06</t>
  </si>
  <si>
    <t>2026-07</t>
  </si>
  <si>
    <t>brands</t>
  </si>
  <si>
    <t>products</t>
  </si>
  <si>
    <t>categories</t>
  </si>
  <si>
    <t>median_price</t>
  </si>
  <si>
    <t>average_discount_percent</t>
  </si>
  <si>
    <t>sale_products_percent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</si>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</sst>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P\K\R\ #,##0.00"/>
    <numFmt numFmtId="165" formatCode="\P\K\R\ #,##0"/>
    <numFmt numFmtId="166" formatCode="0.0%"/>
    <numFmt numFmtId="167" formatCode="0&quot;°C&quot;"/>
  </numFmts>
  <fonts count="32">
    <font>
      <sz val="11"/>
      <name val="Carlito"/>
    </font>
    <font>
      <b/>
      <sz val="11"/>
      <color rgb="FFFFFFFF"/>
      <name val="Carlito"/>
    </font>
    <font>
      <b/>
      <sz val="13"/>
      <color rgb="FFFFFFFF"/>
      <name val="Carlito"/>
    </font>
    <font>
      <b/>
      <sz val="11"/>
      <color rgb="FF14213D"/>
      <name val="Carlito"/>
    </font>
    <font>
      <sz val="9"/>
      <color rgb="FF14213D"/>
      <name val="Carlito"/>
    </font>
    <font>
      <sz val="9"/>
      <color rgb="FFFFFFFF"/>
      <name val="Carlito"/>
    </font>
    <font>
      <b/>
      <sz val="11"/>
      <color rgb="FFD7A42A"/>
      <name val="Carlito"/>
    </font>
    <font>
      <b/>
      <sz val="8"/>
      <color rgb="FFFFFFFF"/>
      <name val="Carlito"/>
    </font>
    <font>
      <b/>
      <sz val="10"/>
      <color rgb="FFD7A42A"/>
      <name val="Carlito"/>
    </font>
    <font>
      <b/>
      <sz val="27"/>
      <color rgb="FFFFFFFF"/>
      <name val="Carlito"/>
    </font>
    <font>
      <b/>
      <sz val="10"/>
      <color rgb="FFFFFFFF"/>
      <name val="Carlito"/>
    </font>
    <font>
      <b/>
      <sz val="9"/>
      <color rgb="FFFFFFFF"/>
      <name val="Carlito"/>
    </font>
    <font>
      <sz val="7"/>
      <color rgb="FFC5D7E6"/>
      <name val="Carlito"/>
    </font>
    <font>
      <b/>
      <sz val="24"/>
      <color rgb="FF14213D"/>
      <name val="Carlito"/>
    </font>
    <font>
      <b/>
      <sz val="10"/>
      <color rgb="FF996700"/>
      <name val="Carlito"/>
    </font>
    <font>
      <b/>
      <sz val="9"/>
      <color rgb="FF14213D"/>
      <name val="Carlito"/>
    </font>
    <font>
      <sz val="8"/>
      <color rgb="FF667085"/>
      <name val="Carlito"/>
    </font>
    <font>
      <b/>
      <sz val="9"/>
      <color rgb="FF2C8C7A"/>
      <name val="Carlito"/>
    </font>
    <font>
      <b/>
      <sz val="19"/>
      <color rgb="FF14213D"/>
      <name val="Carlito"/>
    </font>
    <font>
      <sz val="7"/>
      <color rgb="FF667085"/>
      <name val="Carlito"/>
    </font>
    <font>
      <b/>
      <sz val="9"/>
      <color rgb="FF996700"/>
      <name val="Carlito"/>
    </font>
    <font>
      <b/>
      <sz val="9"/>
      <color rgb="FFE05A61"/>
      <name val="Carlito"/>
    </font>
    <font>
      <b/>
      <sz val="9"/>
      <color rgb="FF174A7E"/>
      <name val="Carlito"/>
    </font>
    <font>
      <b/>
      <sz val="9"/>
      <color rgb="FF6E2DA8"/>
      <name val="Carlito"/>
    </font>
    <font>
      <i/>
      <sz val="7"/>
      <color rgb="FF667085"/>
      <name val="Carlito"/>
    </font>
    <font>
      <sz val="8"/>
      <color rgb="FF14213D"/>
      <name val="Carlito"/>
    </font>
    <font>
      <b/>
      <i/>
      <sz val="11"/>
      <color rgb="FFFF0000"/>
      <name val="Carlito"/>
    </font>
    <font>
      <i/>
      <sz val="10"/>
      <color rgb="FFFF0000"/>
      <name val="Arial Black"/>
      <family val="2"/>
    </font>
    <font>
      <b/>
      <i/>
      <sz val="12"/>
      <color rgb="FFFF0000"/>
      <name val="Arial Black"/>
      <family val="2"/>
    </font>
    <font>
      <sz val="11"/>
      <color rgb="FF14213D"/>
      <name val="Arial Black"/>
      <family val="2"/>
    </font>
    <font>
      <b/>
      <sz val="15"/>
      <color theme="0"/>
      <name val="Carlito"/>
    </font>
    <font>
      <b/>
      <sz val="12"/>
      <color theme="0"/>
      <name val="Carlito"/>
    </font>
  </fonts>
  <fills count="17">
    <fill>
      <patternFill patternType="none"/>
    </fill>
    <fill>
      <patternFill patternType="gray125"/>
    </fill>
    <fill>
      <patternFill patternType="solid">
        <fgColor rgb="FF062647"/>
      </patternFill>
    </fill>
    <fill>
      <patternFill patternType="solid">
        <fgColor rgb="FFEAF0F6"/>
      </patternFill>
    </fill>
    <fill>
      <patternFill patternType="solid">
        <fgColor rgb="FFF5F7FA"/>
      </patternFill>
    </fill>
    <fill>
      <patternFill patternType="solid">
        <fgColor rgb="FF041B32"/>
      </patternFill>
    </fill>
    <fill>
      <patternFill patternType="solid">
        <fgColor rgb="FF0B3159"/>
      </patternFill>
    </fill>
    <fill>
      <patternFill patternType="solid">
        <fgColor rgb="FF0A2B4D"/>
      </patternFill>
    </fill>
    <fill>
      <patternFill patternType="solid">
        <fgColor rgb="FF082C4E"/>
      </patternFill>
    </fill>
    <fill>
      <patternFill patternType="solid">
        <fgColor rgb="FFFFFFFF"/>
      </patternFill>
    </fill>
    <fill>
      <patternFill patternType="solid">
        <fgColor rgb="FFEEF2F6"/>
      </patternFill>
    </fill>
    <fill>
      <patternFill patternType="solid">
        <fgColor rgb="FFEDF8F4"/>
      </patternFill>
    </fill>
    <fill>
      <patternFill patternType="solid">
        <fgColor rgb="FFFFF7E8"/>
      </patternFill>
    </fill>
    <fill>
      <patternFill patternType="solid">
        <fgColor rgb="FFFFF1F2"/>
      </patternFill>
    </fill>
    <fill>
      <patternFill patternType="solid">
        <fgColor rgb="FFEDF5FC"/>
      </patternFill>
    </fill>
    <fill>
      <patternFill patternType="solid">
        <fgColor rgb="FFF4EFFB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3" fillId="3" borderId="0" xfId="0" applyFont="1" applyFill="1"/>
    <xf numFmtId="166" fontId="0" fillId="0" borderId="0" xfId="0" applyNumberFormat="1"/>
    <xf numFmtId="9" fontId="0" fillId="0" borderId="0" xfId="0" applyNumberFormat="1"/>
    <xf numFmtId="0" fontId="4" fillId="4" borderId="0" xfId="0" applyFont="1" applyFill="1"/>
    <xf numFmtId="0" fontId="5" fillId="2" borderId="0" xfId="0" applyFont="1" applyFill="1"/>
    <xf numFmtId="0" fontId="4" fillId="9" borderId="0" xfId="0" applyFont="1" applyFill="1"/>
    <xf numFmtId="0" fontId="31" fillId="5" borderId="0" xfId="0" applyFont="1" applyFill="1" applyAlignment="1">
      <alignment horizontal="center" vertical="center" wrapText="1"/>
    </xf>
    <xf numFmtId="0" fontId="30" fillId="5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5" fillId="7" borderId="0" xfId="0" applyFont="1" applyFill="1" applyAlignment="1">
      <alignment horizontal="left"/>
    </xf>
    <xf numFmtId="0" fontId="11" fillId="8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0" fontId="13" fillId="9" borderId="0" xfId="0" applyFont="1" applyFill="1" applyAlignment="1">
      <alignment horizontal="center" vertical="center"/>
    </xf>
    <xf numFmtId="0" fontId="14" fillId="9" borderId="0" xfId="0" applyFont="1" applyFill="1" applyAlignment="1">
      <alignment horizontal="center"/>
    </xf>
    <xf numFmtId="0" fontId="19" fillId="11" borderId="0" xfId="0" applyFont="1" applyFill="1" applyAlignment="1">
      <alignment horizontal="center"/>
    </xf>
    <xf numFmtId="0" fontId="19" fillId="12" borderId="0" xfId="0" applyFont="1" applyFill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4" borderId="0" xfId="0" applyFont="1" applyFill="1" applyAlignment="1">
      <alignment horizontal="center"/>
    </xf>
    <xf numFmtId="0" fontId="24" fillId="16" borderId="0" xfId="0" applyFont="1" applyFill="1" applyAlignment="1">
      <alignment horizontal="center" vertical="center" wrapText="1"/>
    </xf>
    <xf numFmtId="167" fontId="9" fillId="2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15" fillId="9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/>
    </xf>
    <xf numFmtId="0" fontId="17" fillId="11" borderId="0" xfId="0" applyFont="1" applyFill="1" applyAlignment="1">
      <alignment horizontal="center"/>
    </xf>
    <xf numFmtId="1" fontId="18" fillId="11" borderId="0" xfId="0" applyNumberFormat="1" applyFont="1" applyFill="1" applyAlignment="1">
      <alignment horizontal="center" vertical="center"/>
    </xf>
    <xf numFmtId="0" fontId="18" fillId="11" borderId="0" xfId="0" applyFont="1" applyFill="1" applyAlignment="1">
      <alignment horizontal="center" vertical="center"/>
    </xf>
    <xf numFmtId="0" fontId="20" fillId="12" borderId="0" xfId="0" applyFont="1" applyFill="1" applyAlignment="1">
      <alignment horizontal="center"/>
    </xf>
    <xf numFmtId="165" fontId="18" fillId="12" borderId="0" xfId="0" applyNumberFormat="1" applyFont="1" applyFill="1" applyAlignment="1">
      <alignment horizontal="center" vertical="center"/>
    </xf>
    <xf numFmtId="0" fontId="18" fillId="12" borderId="0" xfId="0" applyFont="1" applyFill="1" applyAlignment="1">
      <alignment horizontal="center" vertical="center"/>
    </xf>
    <xf numFmtId="0" fontId="21" fillId="13" borderId="0" xfId="0" applyFont="1" applyFill="1" applyAlignment="1">
      <alignment horizontal="center"/>
    </xf>
    <xf numFmtId="166" fontId="18" fillId="13" borderId="0" xfId="0" applyNumberFormat="1" applyFont="1" applyFill="1" applyAlignment="1">
      <alignment horizontal="center" vertical="center"/>
    </xf>
    <xf numFmtId="0" fontId="18" fillId="13" borderId="0" xfId="0" applyFont="1" applyFill="1" applyAlignment="1">
      <alignment horizontal="center" vertical="center"/>
    </xf>
    <xf numFmtId="0" fontId="22" fillId="14" borderId="0" xfId="0" applyFont="1" applyFill="1" applyAlignment="1">
      <alignment horizontal="center"/>
    </xf>
    <xf numFmtId="166" fontId="18" fillId="14" borderId="0" xfId="0" applyNumberFormat="1" applyFont="1" applyFill="1" applyAlignment="1">
      <alignment horizontal="center" vertical="center"/>
    </xf>
    <xf numFmtId="0" fontId="18" fillId="14" borderId="0" xfId="0" applyFont="1" applyFill="1" applyAlignment="1">
      <alignment horizontal="center" vertical="center"/>
    </xf>
    <xf numFmtId="0" fontId="23" fillId="15" borderId="0" xfId="0" applyFont="1" applyFill="1" applyAlignment="1">
      <alignment horizontal="center"/>
    </xf>
    <xf numFmtId="1" fontId="18" fillId="15" borderId="0" xfId="0" applyNumberFormat="1" applyFont="1" applyFill="1" applyAlignment="1">
      <alignment horizontal="center" vertical="center"/>
    </xf>
    <xf numFmtId="0" fontId="18" fillId="15" borderId="0" xfId="0" applyFont="1" applyFill="1" applyAlignment="1">
      <alignment horizontal="center" vertical="center"/>
    </xf>
    <xf numFmtId="0" fontId="29" fillId="9" borderId="0" xfId="0" applyFont="1" applyFill="1" applyAlignment="1">
      <alignment horizontal="left" vertical="center" wrapText="1"/>
    </xf>
    <xf numFmtId="0" fontId="25" fillId="9" borderId="0" xfId="0" applyFont="1" applyFill="1" applyAlignment="1">
      <alignment horizontal="left" vertical="center" wrapText="1"/>
    </xf>
    <xf numFmtId="0" fontId="19" fillId="15" borderId="0" xfId="0" applyFont="1" applyFill="1" applyAlignment="1">
      <alignment horizontal="center"/>
    </xf>
    <xf numFmtId="2" fontId="18" fillId="14" borderId="0" xfId="0" applyNumberFormat="1" applyFont="1" applyFill="1" applyAlignment="1">
      <alignment horizontal="center" vertical="center"/>
    </xf>
    <xf numFmtId="0" fontId="26" fillId="16" borderId="0" xfId="0" applyFont="1" applyFill="1" applyAlignment="1">
      <alignment horizontal="center" vertical="center" wrapText="1"/>
    </xf>
    <xf numFmtId="0" fontId="27" fillId="16" borderId="0" xfId="0" applyFont="1" applyFill="1" applyAlignment="1">
      <alignment horizontal="center" vertical="center" wrapText="1"/>
    </xf>
    <xf numFmtId="0" fontId="28" fillId="16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Median Price</c:v>
          </c:tx>
          <c:spPr>
            <a:solidFill>
              <a:srgbClr val="174A7E"/>
            </a:solidFill>
            <a:ln w="9525">
              <a:solidFill>
                <a:srgbClr val="174A7E"/>
              </a:solidFill>
              <a:prstDash val="solid"/>
            </a:ln>
          </c:spPr>
          <c:invertIfNegative val="1"/>
          <c:dLbls>
            <c:dLbl>
              <c:idx val="0"/>
              <c:spPr/>
              <c:txPr>
                <a:bodyPr anchorCtr="1"/>
                <a:lstStyle/>
                <a:p>
                  <a:pPr>
                    <a:defRPr sz="675" b="1"/>
                  </a:pPr>
                  <a:endParaRPr lang="en-PK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4D9-471E-B701-2DCE569FB293}"/>
                </c:ext>
              </c:extLst>
            </c:dLbl>
            <c:dLbl>
              <c:idx val="1"/>
              <c:spPr/>
              <c:txPr>
                <a:bodyPr anchorCtr="1"/>
                <a:lstStyle/>
                <a:p>
                  <a:pPr>
                    <a:defRPr sz="675" b="1"/>
                  </a:pPr>
                  <a:endParaRPr lang="en-PK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4D9-471E-B701-2DCE569FB293}"/>
                </c:ext>
              </c:extLst>
            </c:dLbl>
            <c:dLbl>
              <c:idx val="2"/>
              <c:spPr/>
              <c:txPr>
                <a:bodyPr anchorCtr="1"/>
                <a:lstStyle/>
                <a:p>
                  <a:pPr>
                    <a:defRPr sz="675" b="1"/>
                  </a:pPr>
                  <a:endParaRPr lang="en-PK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4D9-471E-B701-2DCE569FB29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Dashboard_Calcs!$G$3:$G$5</c:f>
              <c:strCache>
                <c:ptCount val="3"/>
                <c:pt idx="0">
                  <c:v>J.</c:v>
                </c:pt>
                <c:pt idx="1">
                  <c:v>Maria.B</c:v>
                </c:pt>
                <c:pt idx="2">
                  <c:v>Sana Safinaz</c:v>
                </c:pt>
              </c:strCache>
            </c:strRef>
          </c:cat>
          <c:val>
            <c:numRef>
              <c:f>Dashboard_Calcs!$H$3:$H$5</c:f>
              <c:numCache>
                <c:formatCode>\P\K\R\ #,##0</c:formatCode>
                <c:ptCount val="3"/>
                <c:pt idx="0">
                  <c:v>9990</c:v>
                </c:pt>
                <c:pt idx="1">
                  <c:v>23990</c:v>
                </c:pt>
                <c:pt idx="2">
                  <c:v>8999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174A7E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24D9-471E-B701-2DCE569FB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PK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P\K\R\ #,##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PK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Average Discount</c:v>
          </c:tx>
          <c:spPr>
            <a:solidFill>
              <a:srgbClr val="D7A42A"/>
            </a:solidFill>
            <a:ln w="9525">
              <a:solidFill>
                <a:srgbClr val="D7A42A"/>
              </a:solidFill>
              <a:prstDash val="solid"/>
            </a:ln>
          </c:spPr>
          <c:invertIfNegative val="1"/>
          <c:dLbls>
            <c:dLbl>
              <c:idx val="0"/>
              <c:spPr/>
              <c:txPr>
                <a:bodyPr anchorCtr="1"/>
                <a:lstStyle/>
                <a:p>
                  <a:pPr>
                    <a:defRPr sz="675" b="1"/>
                  </a:pPr>
                  <a:endParaRPr lang="en-PK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EBF-42AE-B99D-CF5069F3A677}"/>
                </c:ext>
              </c:extLst>
            </c:dLbl>
            <c:dLbl>
              <c:idx val="1"/>
              <c:spPr/>
              <c:txPr>
                <a:bodyPr anchorCtr="1"/>
                <a:lstStyle/>
                <a:p>
                  <a:pPr>
                    <a:defRPr sz="675" b="1"/>
                  </a:pPr>
                  <a:endParaRPr lang="en-PK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EBF-42AE-B99D-CF5069F3A677}"/>
                </c:ext>
              </c:extLst>
            </c:dLbl>
            <c:dLbl>
              <c:idx val="2"/>
              <c:spPr/>
              <c:txPr>
                <a:bodyPr anchorCtr="1"/>
                <a:lstStyle/>
                <a:p>
                  <a:pPr>
                    <a:defRPr sz="675" b="1"/>
                  </a:pPr>
                  <a:endParaRPr lang="en-PK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EBF-42AE-B99D-CF5069F3A67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Dashboard_Calcs!$G$3:$G$5</c:f>
              <c:strCache>
                <c:ptCount val="3"/>
                <c:pt idx="0">
                  <c:v>J.</c:v>
                </c:pt>
                <c:pt idx="1">
                  <c:v>Maria.B</c:v>
                </c:pt>
                <c:pt idx="2">
                  <c:v>Sana Safinaz</c:v>
                </c:pt>
              </c:strCache>
            </c:strRef>
          </c:cat>
          <c:val>
            <c:numRef>
              <c:f>Dashboard_Calcs!$I$3:$I$5</c:f>
              <c:numCache>
                <c:formatCode>0.0%</c:formatCode>
                <c:ptCount val="3"/>
                <c:pt idx="0">
                  <c:v>1.7000000000000001E-2</c:v>
                </c:pt>
                <c:pt idx="1">
                  <c:v>1.4999999999999999E-2</c:v>
                </c:pt>
                <c:pt idx="2">
                  <c:v>0.12071975308641976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D7A42A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FEBF-42AE-B99D-CF5069F3A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PK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PK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Sale Products</c:v>
          </c:tx>
          <c:spPr>
            <a:solidFill>
              <a:srgbClr val="6E2DA8"/>
            </a:solidFill>
            <a:ln w="9525">
              <a:solidFill>
                <a:srgbClr val="6E2DA8"/>
              </a:solidFill>
              <a:prstDash val="solid"/>
            </a:ln>
          </c:spPr>
          <c:invertIfNegative val="1"/>
          <c:dLbls>
            <c:dLbl>
              <c:idx val="0"/>
              <c:spPr/>
              <c:txPr>
                <a:bodyPr anchorCtr="1"/>
                <a:lstStyle/>
                <a:p>
                  <a:pPr>
                    <a:defRPr sz="675" b="1"/>
                  </a:pPr>
                  <a:endParaRPr lang="en-PK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F13-4182-A737-4848E104A7FD}"/>
                </c:ext>
              </c:extLst>
            </c:dLbl>
            <c:dLbl>
              <c:idx val="1"/>
              <c:spPr/>
              <c:txPr>
                <a:bodyPr anchorCtr="1"/>
                <a:lstStyle/>
                <a:p>
                  <a:pPr>
                    <a:defRPr sz="675" b="1"/>
                  </a:pPr>
                  <a:endParaRPr lang="en-PK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F13-4182-A737-4848E104A7FD}"/>
                </c:ext>
              </c:extLst>
            </c:dLbl>
            <c:dLbl>
              <c:idx val="2"/>
              <c:spPr/>
              <c:txPr>
                <a:bodyPr anchorCtr="1"/>
                <a:lstStyle/>
                <a:p>
                  <a:pPr>
                    <a:defRPr sz="675" b="1"/>
                  </a:pPr>
                  <a:endParaRPr lang="en-PK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F13-4182-A737-4848E104A7F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Dashboard_Calcs!$G$3:$G$5</c:f>
              <c:strCache>
                <c:ptCount val="3"/>
                <c:pt idx="0">
                  <c:v>J.</c:v>
                </c:pt>
                <c:pt idx="1">
                  <c:v>Maria.B</c:v>
                </c:pt>
                <c:pt idx="2">
                  <c:v>Sana Safinaz</c:v>
                </c:pt>
              </c:strCache>
            </c:strRef>
          </c:cat>
          <c:val>
            <c:numRef>
              <c:f>Dashboard_Calcs!$K$3:$K$5</c:f>
              <c:numCache>
                <c:formatCode>0.0%</c:formatCode>
                <c:ptCount val="3"/>
                <c:pt idx="0">
                  <c:v>0.04</c:v>
                </c:pt>
                <c:pt idx="1">
                  <c:v>0.15</c:v>
                </c:pt>
                <c:pt idx="2">
                  <c:v>0.24691358024691357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6E2DA8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CF13-4182-A737-4848E104A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PK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PK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200" b="1" i="0" baseline="0">
                <a:solidFill>
                  <a:srgbClr val="FF0000"/>
                </a:solidFill>
              </a:rPr>
              <a:t>PRODUCTS BY CATEGORY</a:t>
            </a:r>
          </a:p>
        </c:rich>
      </c:tx>
      <c:layout>
        <c:manualLayout>
          <c:xMode val="edge"/>
          <c:yMode val="edge"/>
          <c:x val="0.2732157866521947"/>
          <c:y val="4.4444444444444446E-2"/>
        </c:manualLayout>
      </c:layout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Products</c:v>
          </c:tx>
          <c:spPr>
            <a:solidFill>
              <a:srgbClr val="2C8C7A"/>
            </a:solidFill>
            <a:ln w="9525">
              <a:solidFill>
                <a:srgbClr val="2C8C7A"/>
              </a:solidFill>
              <a:prstDash val="solid"/>
            </a:ln>
          </c:spPr>
          <c:invertIfNegative val="1"/>
          <c:dLbls>
            <c:dLbl>
              <c:idx val="0"/>
              <c:spPr/>
              <c:txPr>
                <a:bodyPr anchorCtr="1"/>
                <a:lstStyle/>
                <a:p>
                  <a:pPr>
                    <a:defRPr sz="675" b="1"/>
                  </a:pPr>
                  <a:endParaRPr lang="en-PK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C65-40CB-AD75-41F7801A7A14}"/>
                </c:ext>
              </c:extLst>
            </c:dLbl>
            <c:dLbl>
              <c:idx val="1"/>
              <c:spPr/>
              <c:txPr>
                <a:bodyPr anchorCtr="1"/>
                <a:lstStyle/>
                <a:p>
                  <a:pPr>
                    <a:defRPr sz="675" b="1"/>
                  </a:pPr>
                  <a:endParaRPr lang="en-PK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C65-40CB-AD75-41F7801A7A14}"/>
                </c:ext>
              </c:extLst>
            </c:dLbl>
            <c:dLbl>
              <c:idx val="2"/>
              <c:spPr/>
              <c:txPr>
                <a:bodyPr anchorCtr="1"/>
                <a:lstStyle/>
                <a:p>
                  <a:pPr>
                    <a:defRPr sz="675" b="1"/>
                  </a:pPr>
                  <a:endParaRPr lang="en-PK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C65-40CB-AD75-41F7801A7A14}"/>
                </c:ext>
              </c:extLst>
            </c:dLbl>
            <c:dLbl>
              <c:idx val="3"/>
              <c:spPr/>
              <c:txPr>
                <a:bodyPr anchorCtr="1"/>
                <a:lstStyle/>
                <a:p>
                  <a:pPr>
                    <a:defRPr sz="675" b="1"/>
                  </a:pPr>
                  <a:endParaRPr lang="en-PK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C65-40CB-AD75-41F7801A7A14}"/>
                </c:ext>
              </c:extLst>
            </c:dLbl>
            <c:dLbl>
              <c:idx val="4"/>
              <c:spPr/>
              <c:txPr>
                <a:bodyPr anchorCtr="1"/>
                <a:lstStyle/>
                <a:p>
                  <a:pPr>
                    <a:defRPr sz="675" b="1"/>
                  </a:pPr>
                  <a:endParaRPr lang="en-PK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C65-40CB-AD75-41F7801A7A1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Dashboard_Calcs!$L$3:$L$7</c:f>
              <c:strCache>
                <c:ptCount val="5"/>
                <c:pt idx="0">
                  <c:v>Unstitched</c:v>
                </c:pt>
                <c:pt idx="1">
                  <c:v>Formal</c:v>
                </c:pt>
                <c:pt idx="2">
                  <c:v>Pret</c:v>
                </c:pt>
                <c:pt idx="3">
                  <c:v>Luxury Pret</c:v>
                </c:pt>
                <c:pt idx="4">
                  <c:v>Stitched</c:v>
                </c:pt>
              </c:strCache>
            </c:strRef>
          </c:cat>
          <c:val>
            <c:numRef>
              <c:f>Dashboard_Calcs!$M$3:$M$7</c:f>
              <c:numCache>
                <c:formatCode>General</c:formatCode>
                <c:ptCount val="5"/>
                <c:pt idx="0">
                  <c:v>84</c:v>
                </c:pt>
                <c:pt idx="1">
                  <c:v>63</c:v>
                </c:pt>
                <c:pt idx="2">
                  <c:v>59</c:v>
                </c:pt>
                <c:pt idx="3">
                  <c:v>50</c:v>
                </c:pt>
                <c:pt idx="4">
                  <c:v>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2C8C7A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1C65-40CB-AD75-41F7801A7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PK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PK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100" b="1">
                <a:solidFill>
                  <a:srgbClr val="FF0000"/>
                </a:solidFill>
                <a:latin typeface="Arial Black" panose="020B0A04020102020204" pitchFamily="34" charset="0"/>
              </a:rPr>
              <a:t>PRICE SEGMENT DISTRIBUTION BY BRAND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Budget</c:v>
          </c:tx>
          <c:spPr>
            <a:solidFill>
              <a:srgbClr val="174A7E"/>
            </a:solidFill>
            <a:ln w="9525">
              <a:solidFill>
                <a:srgbClr val="174A7E"/>
              </a:solidFill>
              <a:prstDash val="solid"/>
            </a:ln>
          </c:spPr>
          <c:invertIfNegative val="1"/>
          <c:cat>
            <c:strRef>
              <c:f>Dashboard_Calcs!$O$3:$O$5</c:f>
              <c:strCache>
                <c:ptCount val="3"/>
                <c:pt idx="0">
                  <c:v>J.</c:v>
                </c:pt>
                <c:pt idx="1">
                  <c:v>Maria.B</c:v>
                </c:pt>
                <c:pt idx="2">
                  <c:v>Sana Safinaz</c:v>
                </c:pt>
              </c:strCache>
            </c:strRef>
          </c:cat>
          <c:val>
            <c:numRef>
              <c:f>Dashboard_Calcs!$P$3:$P$5</c:f>
              <c:numCache>
                <c:formatCode>0%</c:formatCode>
                <c:ptCount val="3"/>
                <c:pt idx="0">
                  <c:v>0.4</c:v>
                </c:pt>
                <c:pt idx="1">
                  <c:v>0</c:v>
                </c:pt>
                <c:pt idx="2">
                  <c:v>0.41975308641975306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174A7E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6C6-4BDD-96D3-26E46EFA4D15}"/>
            </c:ext>
          </c:extLst>
        </c:ser>
        <c:ser>
          <c:idx val="1"/>
          <c:order val="1"/>
          <c:tx>
            <c:v>Mid Range</c:v>
          </c:tx>
          <c:spPr>
            <a:solidFill>
              <a:srgbClr val="2C8C7A"/>
            </a:solidFill>
            <a:ln w="9525">
              <a:solidFill>
                <a:srgbClr val="2C8C7A"/>
              </a:solidFill>
              <a:prstDash val="solid"/>
            </a:ln>
          </c:spPr>
          <c:invertIfNegative val="1"/>
          <c:cat>
            <c:strRef>
              <c:f>Dashboard_Calcs!$O$3:$O$5</c:f>
              <c:strCache>
                <c:ptCount val="3"/>
                <c:pt idx="0">
                  <c:v>J.</c:v>
                </c:pt>
                <c:pt idx="1">
                  <c:v>Maria.B</c:v>
                </c:pt>
                <c:pt idx="2">
                  <c:v>Sana Safinaz</c:v>
                </c:pt>
              </c:strCache>
            </c:strRef>
          </c:cat>
          <c:val>
            <c:numRef>
              <c:f>Dashboard_Calcs!$Q$3:$Q$5</c:f>
              <c:numCache>
                <c:formatCode>0%</c:formatCode>
                <c:ptCount val="3"/>
                <c:pt idx="0">
                  <c:v>0.42</c:v>
                </c:pt>
                <c:pt idx="1">
                  <c:v>0.17</c:v>
                </c:pt>
                <c:pt idx="2">
                  <c:v>0.2839506172839506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2C8C7A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6C6-4BDD-96D3-26E46EFA4D15}"/>
            </c:ext>
          </c:extLst>
        </c:ser>
        <c:ser>
          <c:idx val="2"/>
          <c:order val="2"/>
          <c:tx>
            <c:v>Premium</c:v>
          </c:tx>
          <c:spPr>
            <a:solidFill>
              <a:srgbClr val="D7A42A"/>
            </a:solidFill>
            <a:ln w="9525">
              <a:solidFill>
                <a:srgbClr val="D7A42A"/>
              </a:solidFill>
              <a:prstDash val="solid"/>
            </a:ln>
          </c:spPr>
          <c:invertIfNegative val="1"/>
          <c:cat>
            <c:strRef>
              <c:f>Dashboard_Calcs!$O$3:$O$5</c:f>
              <c:strCache>
                <c:ptCount val="3"/>
                <c:pt idx="0">
                  <c:v>J.</c:v>
                </c:pt>
                <c:pt idx="1">
                  <c:v>Maria.B</c:v>
                </c:pt>
                <c:pt idx="2">
                  <c:v>Sana Safinaz</c:v>
                </c:pt>
              </c:strCache>
            </c:strRef>
          </c:cat>
          <c:val>
            <c:numRef>
              <c:f>Dashboard_Calcs!$R$3:$R$5</c:f>
              <c:numCache>
                <c:formatCode>0%</c:formatCode>
                <c:ptCount val="3"/>
                <c:pt idx="0">
                  <c:v>0.18</c:v>
                </c:pt>
                <c:pt idx="1">
                  <c:v>0.5</c:v>
                </c:pt>
                <c:pt idx="2">
                  <c:v>9.8765432098765427E-2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D7A42A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6C6-4BDD-96D3-26E46EFA4D15}"/>
            </c:ext>
          </c:extLst>
        </c:ser>
        <c:ser>
          <c:idx val="3"/>
          <c:order val="3"/>
          <c:tx>
            <c:v>Luxury</c:v>
          </c:tx>
          <c:spPr>
            <a:solidFill>
              <a:srgbClr val="6E2DA8"/>
            </a:solidFill>
            <a:ln w="9525">
              <a:solidFill>
                <a:srgbClr val="6E2DA8"/>
              </a:solidFill>
              <a:prstDash val="solid"/>
            </a:ln>
          </c:spPr>
          <c:invertIfNegative val="1"/>
          <c:cat>
            <c:strRef>
              <c:f>Dashboard_Calcs!$O$3:$O$5</c:f>
              <c:strCache>
                <c:ptCount val="3"/>
                <c:pt idx="0">
                  <c:v>J.</c:v>
                </c:pt>
                <c:pt idx="1">
                  <c:v>Maria.B</c:v>
                </c:pt>
                <c:pt idx="2">
                  <c:v>Sana Safinaz</c:v>
                </c:pt>
              </c:strCache>
            </c:strRef>
          </c:cat>
          <c:val>
            <c:numRef>
              <c:f>Dashboard_Calcs!$S$3:$S$5</c:f>
              <c:numCache>
                <c:formatCode>0%</c:formatCode>
                <c:ptCount val="3"/>
                <c:pt idx="0">
                  <c:v>0</c:v>
                </c:pt>
                <c:pt idx="1">
                  <c:v>0.33</c:v>
                </c:pt>
                <c:pt idx="2">
                  <c:v>0.19753086419753085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6E2DA8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56C6-4BDD-96D3-26E46EFA4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PK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PK"/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11</xdr:row>
      <xdr:rowOff>0</xdr:rowOff>
    </xdr:from>
    <xdr:to>
      <xdr:col>13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11</xdr:row>
      <xdr:rowOff>0</xdr:rowOff>
    </xdr:from>
    <xdr:to>
      <xdr:col>22</xdr:col>
      <xdr:colOff>0</xdr:colOff>
      <xdr:row>25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0</xdr:colOff>
      <xdr:row>11</xdr:row>
      <xdr:rowOff>0</xdr:rowOff>
    </xdr:from>
    <xdr:to>
      <xdr:col>36</xdr:col>
      <xdr:colOff>0</xdr:colOff>
      <xdr:row>25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28</xdr:row>
      <xdr:rowOff>0</xdr:rowOff>
    </xdr:from>
    <xdr:to>
      <xdr:col>17</xdr:col>
      <xdr:colOff>0</xdr:colOff>
      <xdr:row>49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28</xdr:row>
      <xdr:rowOff>0</xdr:rowOff>
    </xdr:from>
    <xdr:to>
      <xdr:col>36</xdr:col>
      <xdr:colOff>0</xdr:colOff>
      <xdr:row>49</xdr:row>
      <xdr:rowOff>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cessedTable" displayName="ProcessedTable" ref="A1:AA282" totalsRowShown="0">
  <tableColumns count="27">
    <tableColumn id="1" xr3:uid="{00000000-0010-0000-0000-000001000000}" name="Product_ID"/>
    <tableColumn id="2" xr3:uid="{00000000-0010-0000-0000-000002000000}" name="Snapshot_Date"/>
    <tableColumn id="3" xr3:uid="{00000000-0010-0000-0000-000003000000}" name="Brand"/>
    <tableColumn id="4" xr3:uid="{00000000-0010-0000-0000-000004000000}" name="Product_Name"/>
    <tableColumn id="5" xr3:uid="{00000000-0010-0000-0000-000005000000}" name="SKU"/>
    <tableColumn id="6" xr3:uid="{00000000-0010-0000-0000-000006000000}" name="Category"/>
    <tableColumn id="7" xr3:uid="{00000000-0010-0000-0000-000007000000}" name="Subcategory"/>
    <tableColumn id="8" xr3:uid="{00000000-0010-0000-0000-000008000000}" name="Collection"/>
    <tableColumn id="9" xr3:uid="{00000000-0010-0000-0000-000009000000}" name="Original_Price"/>
    <tableColumn id="10" xr3:uid="{00000000-0010-0000-0000-00000A000000}" name="Sale_Price"/>
    <tableColumn id="11" xr3:uid="{00000000-0010-0000-0000-00000B000000}" name="Discount_Amount"/>
    <tableColumn id="12" xr3:uid="{00000000-0010-0000-0000-00000C000000}" name="Discount_Percent"/>
    <tableColumn id="13" xr3:uid="{00000000-0010-0000-0000-00000D000000}" name="Sale_Status"/>
    <tableColumn id="14" xr3:uid="{00000000-0010-0000-0000-00000E000000}" name="Price_Segment"/>
    <tableColumn id="15" xr3:uid="{00000000-0010-0000-0000-00000F000000}" name="Discount_Band"/>
    <tableColumn id="16" xr3:uid="{00000000-0010-0000-0000-000010000000}" name="Category_Median_Price"/>
    <tableColumn id="17" xr3:uid="{00000000-0010-0000-0000-000011000000}" name="Price_Index"/>
    <tableColumn id="18" xr3:uid="{00000000-0010-0000-0000-000012000000}" name="Availability"/>
    <tableColumn id="19" xr3:uid="{00000000-0010-0000-0000-000013000000}" name="Currency"/>
    <tableColumn id="20" xr3:uid="{00000000-0010-0000-0000-000014000000}" name="Price_Competitiveness_Score"/>
    <tableColumn id="21" xr3:uid="{00000000-0010-0000-0000-000015000000}" name="Discount_Strategy_Score"/>
    <tableColumn id="22" xr3:uid="{00000000-0010-0000-0000-000016000000}" name="Product_Variety_Score"/>
    <tableColumn id="23" xr3:uid="{00000000-0010-0000-0000-000017000000}" name="Availability_Score"/>
    <tableColumn id="24" xr3:uid="{00000000-0010-0000-0000-000018000000}" name="Brand_Intelligence_Score"/>
    <tableColumn id="25" xr3:uid="{00000000-0010-0000-0000-000019000000}" name="Column1"/>
    <tableColumn id="26" xr3:uid="{00000000-0010-0000-0000-00001A000000}" name="Column2"/>
    <tableColumn id="27" xr3:uid="{00000000-0010-0000-0000-00001B000000}" name="Column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awTable" displayName="RawTable" ref="A1:Q282" totalsRowShown="0">
  <tableColumns count="17">
    <tableColumn id="1" xr3:uid="{00000000-0010-0000-0100-000001000000}" name="Product_ID"/>
    <tableColumn id="2" xr3:uid="{00000000-0010-0000-0100-000002000000}" name="Snapshot_Date"/>
    <tableColumn id="3" xr3:uid="{00000000-0010-0000-0100-000003000000}" name="Brand"/>
    <tableColumn id="4" xr3:uid="{00000000-0010-0000-0100-000004000000}" name="Product_Name"/>
    <tableColumn id="5" xr3:uid="{00000000-0010-0000-0100-000005000000}" name="SKU"/>
    <tableColumn id="6" xr3:uid="{00000000-0010-0000-0100-000006000000}" name="Category"/>
    <tableColumn id="7" xr3:uid="{00000000-0010-0000-0100-000007000000}" name="Subcategory"/>
    <tableColumn id="8" xr3:uid="{00000000-0010-0000-0100-000008000000}" name="Collection"/>
    <tableColumn id="9" xr3:uid="{00000000-0010-0000-0100-000009000000}" name="Original_Price"/>
    <tableColumn id="10" xr3:uid="{00000000-0010-0000-0100-00000A000000}" name="Sale_Price"/>
    <tableColumn id="11" xr3:uid="{00000000-0010-0000-0100-00000B000000}" name="Discount_Amount"/>
    <tableColumn id="12" xr3:uid="{00000000-0010-0000-0100-00000C000000}" name="Discount_Percent"/>
    <tableColumn id="13" xr3:uid="{00000000-0010-0000-0100-00000D000000}" name="Availability"/>
    <tableColumn id="14" xr3:uid="{00000000-0010-0000-0100-00000E000000}" name="Currency"/>
    <tableColumn id="15" xr3:uid="{00000000-0010-0000-0100-00000F000000}" name="Column1"/>
    <tableColumn id="16" xr3:uid="{00000000-0010-0000-0100-000010000000}" name="Column2"/>
    <tableColumn id="17" xr3:uid="{00000000-0010-0000-0100-000011000000}" name="Scrape_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WeatherTable" displayName="WeatherTable" ref="A1:K2" totalsRowShown="0">
  <tableColumns count="11">
    <tableColumn id="1" xr3:uid="{00000000-0010-0000-0200-000001000000}" name="Region"/>
    <tableColumn id="2" xr3:uid="{00000000-0010-0000-0200-000002000000}" name="Weather_Date"/>
    <tableColumn id="3" xr3:uid="{00000000-0010-0000-0200-000003000000}" name="Temperature_C"/>
    <tableColumn id="4" xr3:uid="{00000000-0010-0000-0200-000004000000}" name="Weather_Condition"/>
    <tableColumn id="5" xr3:uid="{00000000-0010-0000-0200-000005000000}" name="Weather_Code"/>
    <tableColumn id="6" xr3:uid="{00000000-0010-0000-0200-000006000000}" name="Max_Temperature_C"/>
    <tableColumn id="7" xr3:uid="{00000000-0010-0000-0200-000007000000}" name="Min_Temperature_C"/>
    <tableColumn id="8" xr3:uid="{00000000-0010-0000-0200-000008000000}" name="Humidity_Percent"/>
    <tableColumn id="9" xr3:uid="{00000000-0010-0000-0200-000009000000}" name="Precipitation_mm"/>
    <tableColumn id="10" xr3:uid="{00000000-0010-0000-0200-00000A000000}" name="Wind_Speed_kmh"/>
    <tableColumn id="11" xr3:uid="{00000000-0010-0000-0200-00000B000000}" name="Sour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easonalTable" displayName="SeasonalTable" ref="A1:D7" totalsRowShown="0">
  <tableColumns count="4">
    <tableColumn id="1" xr3:uid="{00000000-0010-0000-0300-000001000000}" name="Month"/>
    <tableColumn id="2" xr3:uid="{00000000-0010-0000-0300-000002000000}" name="Avg_Max_Temperature_C"/>
    <tableColumn id="3" xr3:uid="{00000000-0010-0000-0300-000003000000}" name="Avg_Min_Temperature_C"/>
    <tableColumn id="4" xr3:uid="{00000000-0010-0000-0300-000004000000}" name="Total_Precipitation_m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4"/>
  <sheetViews>
    <sheetView tabSelected="1" topLeftCell="A3" zoomScale="55" zoomScaleNormal="55" workbookViewId="0">
      <selection activeCell="B8" sqref="B8:D8"/>
    </sheetView>
  </sheetViews>
  <sheetFormatPr defaultRowHeight="14"/>
  <cols>
    <col min="1" max="4" width="14.5" customWidth="1"/>
    <col min="5" max="36" width="4.9140625" customWidth="1"/>
  </cols>
  <sheetData>
    <row r="1" spans="1:36" ht="16.649999999999999" customHeight="1">
      <c r="A1" s="12" t="s">
        <v>0</v>
      </c>
      <c r="B1" s="13"/>
      <c r="C1" s="13"/>
      <c r="D1" s="13"/>
      <c r="E1" s="20" t="s">
        <v>1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30" t="s">
        <v>2</v>
      </c>
      <c r="Y1" s="30"/>
      <c r="Z1" s="30"/>
      <c r="AA1" s="30"/>
      <c r="AB1" s="30"/>
      <c r="AC1" s="30" t="s">
        <v>3</v>
      </c>
      <c r="AD1" s="30"/>
      <c r="AE1" s="30"/>
      <c r="AF1" s="30"/>
      <c r="AG1" s="30"/>
      <c r="AH1" s="30"/>
      <c r="AI1" s="30"/>
      <c r="AJ1" s="30"/>
    </row>
    <row r="2" spans="1:36" ht="16.649999999999999" customHeight="1">
      <c r="A2" s="13"/>
      <c r="B2" s="13"/>
      <c r="C2" s="13"/>
      <c r="D2" s="13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</row>
    <row r="3" spans="1:36" ht="16.649999999999999" customHeight="1">
      <c r="A3" s="13"/>
      <c r="B3" s="13"/>
      <c r="C3" s="13"/>
      <c r="D3" s="13"/>
      <c r="E3" s="21" t="s">
        <v>4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</row>
    <row r="4" spans="1:36" ht="12.65" customHeight="1">
      <c r="A4" s="13"/>
      <c r="B4" s="13"/>
      <c r="C4" s="13"/>
      <c r="D4" s="13"/>
      <c r="E4" s="31" t="str">
        <f>"Filters: "&amp;B8&amp;" | "&amp;B12&amp;" | "&amp;B16&amp;" | "&amp;B20&amp;" | "&amp;B24&amp;" | "&amp;B28</f>
        <v>Filters: All | All | All | All | All | All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</row>
    <row r="5" spans="1:36" ht="12.65" customHeight="1">
      <c r="A5" s="14" t="s">
        <v>5</v>
      </c>
      <c r="B5" s="14"/>
      <c r="C5" s="14"/>
      <c r="D5" s="14"/>
      <c r="E5" s="32" t="s">
        <v>6</v>
      </c>
      <c r="F5" s="32"/>
      <c r="G5" s="32"/>
      <c r="H5" s="32"/>
      <c r="I5" s="32"/>
      <c r="J5" s="35" t="s">
        <v>7</v>
      </c>
      <c r="K5" s="35"/>
      <c r="L5" s="35"/>
      <c r="M5" s="35"/>
      <c r="N5" s="35"/>
      <c r="O5" s="38" t="s">
        <v>8</v>
      </c>
      <c r="P5" s="38"/>
      <c r="Q5" s="38"/>
      <c r="R5" s="38"/>
      <c r="S5" s="38"/>
      <c r="T5" s="41" t="s">
        <v>9</v>
      </c>
      <c r="U5" s="41"/>
      <c r="V5" s="41"/>
      <c r="W5" s="41"/>
      <c r="X5" s="41"/>
      <c r="Y5" s="44" t="s">
        <v>10</v>
      </c>
      <c r="Z5" s="44"/>
      <c r="AA5" s="44"/>
      <c r="AB5" s="44"/>
      <c r="AC5" s="44"/>
      <c r="AD5" s="41" t="s">
        <v>11</v>
      </c>
      <c r="AE5" s="41"/>
      <c r="AF5" s="41"/>
      <c r="AG5" s="41"/>
      <c r="AH5" s="41"/>
      <c r="AI5" s="41"/>
      <c r="AJ5" s="41"/>
    </row>
    <row r="6" spans="1:36" ht="12.65" customHeight="1">
      <c r="A6" s="10"/>
      <c r="B6" s="10"/>
      <c r="C6" s="10"/>
      <c r="D6" s="10"/>
      <c r="E6" s="32"/>
      <c r="F6" s="32"/>
      <c r="G6" s="32"/>
      <c r="H6" s="32"/>
      <c r="I6" s="32"/>
      <c r="J6" s="35"/>
      <c r="K6" s="35"/>
      <c r="L6" s="35"/>
      <c r="M6" s="35"/>
      <c r="N6" s="35"/>
      <c r="O6" s="38"/>
      <c r="P6" s="38"/>
      <c r="Q6" s="38"/>
      <c r="R6" s="38"/>
      <c r="S6" s="38"/>
      <c r="T6" s="41"/>
      <c r="U6" s="41"/>
      <c r="V6" s="41"/>
      <c r="W6" s="41"/>
      <c r="X6" s="41"/>
      <c r="Y6" s="44"/>
      <c r="Z6" s="44"/>
      <c r="AA6" s="44"/>
      <c r="AB6" s="44"/>
      <c r="AC6" s="44"/>
      <c r="AD6" s="41"/>
      <c r="AE6" s="41"/>
      <c r="AF6" s="41"/>
      <c r="AG6" s="41"/>
      <c r="AH6" s="41"/>
      <c r="AI6" s="41"/>
      <c r="AJ6" s="41"/>
    </row>
    <row r="7" spans="1:36" ht="12.65" customHeight="1">
      <c r="A7" s="15" t="s">
        <v>12</v>
      </c>
      <c r="B7" s="15"/>
      <c r="C7" s="15"/>
      <c r="D7" s="15"/>
      <c r="E7" s="33">
        <f>Dashboard_Calcs!E4</f>
        <v>281</v>
      </c>
      <c r="F7" s="34"/>
      <c r="G7" s="34"/>
      <c r="H7" s="34"/>
      <c r="I7" s="34"/>
      <c r="J7" s="36">
        <f>Dashboard_Calcs!E5</f>
        <v>12990</v>
      </c>
      <c r="K7" s="37"/>
      <c r="L7" s="37"/>
      <c r="M7" s="37"/>
      <c r="N7" s="37"/>
      <c r="O7" s="39">
        <f>Dashboard_Calcs!E6</f>
        <v>4.6186120996441281E-2</v>
      </c>
      <c r="P7" s="40"/>
      <c r="Q7" s="40"/>
      <c r="R7" s="40"/>
      <c r="S7" s="40"/>
      <c r="T7" s="42">
        <f>Dashboard_Calcs!E8</f>
        <v>0.13879003558718861</v>
      </c>
      <c r="U7" s="43"/>
      <c r="V7" s="43"/>
      <c r="W7" s="43"/>
      <c r="X7" s="43"/>
      <c r="Y7" s="45">
        <f>Dashboard_Calcs!E7</f>
        <v>5</v>
      </c>
      <c r="Z7" s="46"/>
      <c r="AA7" s="46"/>
      <c r="AB7" s="46"/>
      <c r="AC7" s="46"/>
      <c r="AD7" s="50">
        <f>Dashboard_Calcs!E9</f>
        <v>81.180000000000007</v>
      </c>
      <c r="AE7" s="43"/>
      <c r="AF7" s="43"/>
      <c r="AG7" s="43"/>
      <c r="AH7" s="43"/>
      <c r="AI7" s="43"/>
      <c r="AJ7" s="43"/>
    </row>
    <row r="8" spans="1:36" ht="12.65" customHeight="1">
      <c r="A8" s="10"/>
      <c r="B8" s="16" t="s">
        <v>13</v>
      </c>
      <c r="C8" s="16"/>
      <c r="D8" s="16"/>
      <c r="E8" s="34"/>
      <c r="F8" s="34"/>
      <c r="G8" s="34"/>
      <c r="H8" s="34"/>
      <c r="I8" s="34"/>
      <c r="J8" s="37"/>
      <c r="K8" s="37"/>
      <c r="L8" s="37"/>
      <c r="M8" s="37"/>
      <c r="N8" s="37"/>
      <c r="O8" s="40"/>
      <c r="P8" s="40"/>
      <c r="Q8" s="40"/>
      <c r="R8" s="40"/>
      <c r="S8" s="40"/>
      <c r="T8" s="43"/>
      <c r="U8" s="43"/>
      <c r="V8" s="43"/>
      <c r="W8" s="43"/>
      <c r="X8" s="43"/>
      <c r="Y8" s="46"/>
      <c r="Z8" s="46"/>
      <c r="AA8" s="46"/>
      <c r="AB8" s="46"/>
      <c r="AC8" s="46"/>
      <c r="AD8" s="43"/>
      <c r="AE8" s="43"/>
      <c r="AF8" s="43"/>
      <c r="AG8" s="43"/>
      <c r="AH8" s="43"/>
      <c r="AI8" s="43"/>
      <c r="AJ8" s="43"/>
    </row>
    <row r="9" spans="1:36" ht="12.65" customHeight="1">
      <c r="A9" s="10"/>
      <c r="B9" s="10"/>
      <c r="C9" s="10"/>
      <c r="D9" s="10"/>
      <c r="E9" s="34"/>
      <c r="F9" s="34"/>
      <c r="G9" s="34"/>
      <c r="H9" s="34"/>
      <c r="I9" s="34"/>
      <c r="J9" s="37"/>
      <c r="K9" s="37"/>
      <c r="L9" s="37"/>
      <c r="M9" s="37"/>
      <c r="N9" s="37"/>
      <c r="O9" s="40"/>
      <c r="P9" s="40"/>
      <c r="Q9" s="40"/>
      <c r="R9" s="40"/>
      <c r="S9" s="40"/>
      <c r="T9" s="43"/>
      <c r="U9" s="43"/>
      <c r="V9" s="43"/>
      <c r="W9" s="43"/>
      <c r="X9" s="43"/>
      <c r="Y9" s="46"/>
      <c r="Z9" s="46"/>
      <c r="AA9" s="46"/>
      <c r="AB9" s="46"/>
      <c r="AC9" s="46"/>
      <c r="AD9" s="43"/>
      <c r="AE9" s="43"/>
      <c r="AF9" s="43"/>
      <c r="AG9" s="43"/>
      <c r="AH9" s="43"/>
      <c r="AI9" s="43"/>
      <c r="AJ9" s="43"/>
    </row>
    <row r="10" spans="1:36" ht="12.65" customHeight="1">
      <c r="A10" s="10"/>
      <c r="B10" s="10"/>
      <c r="C10" s="10"/>
      <c r="D10" s="10"/>
      <c r="E10" s="22" t="s">
        <v>14</v>
      </c>
      <c r="F10" s="22"/>
      <c r="G10" s="22"/>
      <c r="H10" s="22"/>
      <c r="I10" s="22"/>
      <c r="J10" s="23" t="s">
        <v>15</v>
      </c>
      <c r="K10" s="23"/>
      <c r="L10" s="23"/>
      <c r="M10" s="23"/>
      <c r="N10" s="23"/>
      <c r="O10" s="24" t="s">
        <v>15</v>
      </c>
      <c r="P10" s="24"/>
      <c r="Q10" s="24"/>
      <c r="R10" s="24"/>
      <c r="S10" s="24"/>
      <c r="T10" s="25" t="s">
        <v>16</v>
      </c>
      <c r="U10" s="25"/>
      <c r="V10" s="25"/>
      <c r="W10" s="25"/>
      <c r="X10" s="25"/>
      <c r="Y10" s="49" t="s">
        <v>17</v>
      </c>
      <c r="Z10" s="49"/>
      <c r="AA10" s="49"/>
      <c r="AB10" s="49"/>
      <c r="AC10" s="49"/>
      <c r="AD10" s="25" t="s">
        <v>18</v>
      </c>
      <c r="AE10" s="25"/>
      <c r="AF10" s="25"/>
      <c r="AG10" s="25"/>
      <c r="AH10" s="25"/>
      <c r="AI10" s="25"/>
      <c r="AJ10" s="25"/>
    </row>
    <row r="11" spans="1:36" ht="12.65" customHeight="1">
      <c r="A11" s="15" t="s">
        <v>19</v>
      </c>
      <c r="B11" s="15"/>
      <c r="C11" s="15"/>
      <c r="D11" s="15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</row>
    <row r="12" spans="1:36" ht="12.65" customHeight="1">
      <c r="A12" s="10"/>
      <c r="B12" s="16" t="s">
        <v>13</v>
      </c>
      <c r="C12" s="16"/>
      <c r="D12" s="16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</row>
    <row r="13" spans="1:36" ht="12.65" customHeight="1">
      <c r="A13" s="10"/>
      <c r="B13" s="10"/>
      <c r="C13" s="10"/>
      <c r="D13" s="10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</row>
    <row r="14" spans="1:36" ht="12.65" customHeight="1">
      <c r="A14" s="10"/>
      <c r="B14" s="10"/>
      <c r="C14" s="10"/>
      <c r="D14" s="10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</row>
    <row r="15" spans="1:36" ht="12.65" customHeight="1">
      <c r="A15" s="15" t="s">
        <v>20</v>
      </c>
      <c r="B15" s="15"/>
      <c r="C15" s="15"/>
      <c r="D15" s="15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</row>
    <row r="16" spans="1:36" ht="12.65" customHeight="1">
      <c r="A16" s="10"/>
      <c r="B16" s="16" t="s">
        <v>13</v>
      </c>
      <c r="C16" s="16"/>
      <c r="D16" s="16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</row>
    <row r="17" spans="1:36" ht="12.65" customHeight="1">
      <c r="A17" s="10"/>
      <c r="B17" s="10"/>
      <c r="C17" s="10"/>
      <c r="D17" s="10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</row>
    <row r="18" spans="1:36" ht="12.65" customHeight="1">
      <c r="A18" s="10"/>
      <c r="B18" s="10"/>
      <c r="C18" s="10"/>
      <c r="D18" s="10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</row>
    <row r="19" spans="1:36" ht="12.65" customHeight="1">
      <c r="A19" s="15" t="s">
        <v>21</v>
      </c>
      <c r="B19" s="15"/>
      <c r="C19" s="15"/>
      <c r="D19" s="15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</row>
    <row r="20" spans="1:36" ht="12.65" customHeight="1">
      <c r="A20" s="10"/>
      <c r="B20" s="16" t="s">
        <v>13</v>
      </c>
      <c r="C20" s="16"/>
      <c r="D20" s="16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</row>
    <row r="21" spans="1:36" ht="12.65" customHeight="1">
      <c r="A21" s="10"/>
      <c r="B21" s="10"/>
      <c r="C21" s="10"/>
      <c r="D21" s="10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</row>
    <row r="22" spans="1:36" ht="12.65" customHeight="1">
      <c r="A22" s="10"/>
      <c r="B22" s="10"/>
      <c r="C22" s="10"/>
      <c r="D22" s="10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</row>
    <row r="23" spans="1:36" ht="12.65" customHeight="1">
      <c r="A23" s="15" t="s">
        <v>22</v>
      </c>
      <c r="B23" s="15"/>
      <c r="C23" s="15"/>
      <c r="D23" s="15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</row>
    <row r="24" spans="1:36" ht="12.65" customHeight="1">
      <c r="A24" s="10"/>
      <c r="B24" s="16" t="s">
        <v>13</v>
      </c>
      <c r="C24" s="16"/>
      <c r="D24" s="16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</row>
    <row r="25" spans="1:36" ht="12.65" customHeight="1">
      <c r="A25" s="10"/>
      <c r="B25" s="10"/>
      <c r="C25" s="10"/>
      <c r="D25" s="10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</row>
    <row r="26" spans="1:36" ht="12.65" customHeight="1">
      <c r="A26" s="10"/>
      <c r="B26" s="10"/>
      <c r="C26" s="10"/>
      <c r="D26" s="10"/>
      <c r="E26" s="51" t="s">
        <v>23</v>
      </c>
      <c r="F26" s="26"/>
      <c r="G26" s="26"/>
      <c r="H26" s="26"/>
      <c r="I26" s="26"/>
      <c r="J26" s="26"/>
      <c r="K26" s="26"/>
      <c r="L26" s="26"/>
      <c r="M26" s="26"/>
      <c r="N26" s="52" t="s">
        <v>24</v>
      </c>
      <c r="O26" s="26"/>
      <c r="P26" s="26"/>
      <c r="Q26" s="26"/>
      <c r="R26" s="26"/>
      <c r="S26" s="26"/>
      <c r="T26" s="26"/>
      <c r="U26" s="26"/>
      <c r="V26" s="26"/>
      <c r="W26" s="53" t="s">
        <v>25</v>
      </c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</row>
    <row r="27" spans="1:36" ht="12.65" customHeight="1">
      <c r="A27" s="15" t="s">
        <v>26</v>
      </c>
      <c r="B27" s="15"/>
      <c r="C27" s="15"/>
      <c r="D27" s="15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</row>
    <row r="28" spans="1:36" ht="12.65" customHeight="1">
      <c r="A28" s="10"/>
      <c r="B28" s="16" t="s">
        <v>13</v>
      </c>
      <c r="C28" s="16"/>
      <c r="D28" s="16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</row>
    <row r="29" spans="1:36" ht="12.65" customHeight="1">
      <c r="A29" s="10"/>
      <c r="B29" s="10"/>
      <c r="C29" s="10"/>
      <c r="D29" s="10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</row>
    <row r="30" spans="1:36" ht="12.65" customHeight="1">
      <c r="A30" s="10"/>
      <c r="B30" s="10"/>
      <c r="C30" s="10"/>
      <c r="D30" s="10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</row>
    <row r="31" spans="1:36" ht="12.65" customHeight="1">
      <c r="A31" s="10"/>
      <c r="B31" s="10"/>
      <c r="C31" s="10"/>
      <c r="D31" s="10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</row>
    <row r="32" spans="1:36" ht="12.65" customHeight="1">
      <c r="A32" s="18" t="s">
        <v>27</v>
      </c>
      <c r="B32" s="18"/>
      <c r="C32" s="18"/>
      <c r="D32" s="18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</row>
    <row r="33" spans="1:36" ht="12.65" customHeight="1">
      <c r="A33" s="10"/>
      <c r="B33" s="10"/>
      <c r="C33" s="10"/>
      <c r="D33" s="10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</row>
    <row r="34" spans="1:36" ht="12.65" customHeight="1">
      <c r="A34" s="27">
        <f>Weather_API!C2</f>
        <v>33.1</v>
      </c>
      <c r="B34" s="28"/>
      <c r="C34" s="28"/>
      <c r="D34" s="28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</row>
    <row r="35" spans="1:36" ht="12.65" customHeight="1">
      <c r="A35" s="28"/>
      <c r="B35" s="28"/>
      <c r="C35" s="28"/>
      <c r="D35" s="28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</row>
    <row r="36" spans="1:36" ht="12.65" customHeight="1">
      <c r="A36" s="28"/>
      <c r="B36" s="28"/>
      <c r="C36" s="28"/>
      <c r="D36" s="28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</row>
    <row r="37" spans="1:36" ht="12.65" customHeight="1">
      <c r="A37" s="28"/>
      <c r="B37" s="28"/>
      <c r="C37" s="28"/>
      <c r="D37" s="28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</row>
    <row r="38" spans="1:36" ht="12.65" customHeight="1">
      <c r="A38" s="29" t="str">
        <f>Weather_API!D2</f>
        <v>Clear</v>
      </c>
      <c r="B38" s="29"/>
      <c r="C38" s="29"/>
      <c r="D38" s="29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</row>
    <row r="39" spans="1:36" ht="12.65" customHeight="1">
      <c r="A39" s="10"/>
      <c r="B39" s="10"/>
      <c r="C39" s="10"/>
      <c r="D39" s="10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</row>
    <row r="40" spans="1:36" ht="12.65" customHeight="1">
      <c r="A40" s="17" t="str">
        <f>"Max "&amp;TEXT(Weather_API!F2,"0")&amp;"°C"</f>
        <v>Max 34°C</v>
      </c>
      <c r="B40" s="17"/>
      <c r="C40" s="17" t="str">
        <f>"Min "&amp;TEXT(Weather_API!G2,"0")&amp;"°C"</f>
        <v>Min 26°C</v>
      </c>
      <c r="D40" s="17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</row>
    <row r="41" spans="1:36" ht="12.65" customHeight="1">
      <c r="A41" s="17"/>
      <c r="B41" s="17"/>
      <c r="C41" s="17"/>
      <c r="D41" s="17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</row>
    <row r="42" spans="1:36" ht="12.65" customHeight="1">
      <c r="A42" s="17"/>
      <c r="B42" s="17"/>
      <c r="C42" s="17"/>
      <c r="D42" s="17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</row>
    <row r="43" spans="1:36" ht="12.65" customHeight="1">
      <c r="A43" s="10"/>
      <c r="B43" s="10"/>
      <c r="C43" s="10"/>
      <c r="D43" s="10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</row>
    <row r="44" spans="1:36" ht="12.65" customHeight="1">
      <c r="A44" s="17" t="str">
        <f>"Humidity "&amp;TEXT(Weather_API!H2,"0")&amp;"%"</f>
        <v>Humidity 62%</v>
      </c>
      <c r="B44" s="17"/>
      <c r="C44" s="17" t="str">
        <f>"Rain "&amp;TEXT(Weather_API!I2,"0.0")&amp;" mm"</f>
        <v>Rain 0.0 mm</v>
      </c>
      <c r="D44" s="17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</row>
    <row r="45" spans="1:36" ht="12.65" customHeight="1">
      <c r="A45" s="17"/>
      <c r="B45" s="17"/>
      <c r="C45" s="17"/>
      <c r="D45" s="17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</row>
    <row r="46" spans="1:36" ht="12.65" customHeight="1">
      <c r="A46" s="17"/>
      <c r="B46" s="17"/>
      <c r="C46" s="17"/>
      <c r="D46" s="17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</row>
    <row r="47" spans="1:36" ht="12.65" customHeight="1">
      <c r="A47" s="10"/>
      <c r="B47" s="10"/>
      <c r="C47" s="10"/>
      <c r="D47" s="10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</row>
    <row r="48" spans="1:36" ht="12.65" customHeight="1">
      <c r="A48" s="17" t="str">
        <f>"Wind "&amp;TEXT(Weather_API!J2,"0")&amp;" km/h"</f>
        <v>Wind 5 km/h</v>
      </c>
      <c r="B48" s="17"/>
      <c r="C48" s="17" t="str">
        <f>"Code "&amp;TEXT(Weather_API!E2,"0")</f>
        <v>Code 0</v>
      </c>
      <c r="D48" s="17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</row>
    <row r="49" spans="1:36" ht="12.65" customHeight="1">
      <c r="A49" s="17"/>
      <c r="B49" s="17"/>
      <c r="C49" s="17"/>
      <c r="D49" s="17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</row>
    <row r="50" spans="1:36" ht="12.65" customHeight="1">
      <c r="A50" s="17"/>
      <c r="B50" s="17"/>
      <c r="C50" s="17"/>
      <c r="D50" s="17"/>
      <c r="E50" s="26" t="s">
        <v>28</v>
      </c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 t="s">
        <v>29</v>
      </c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</row>
    <row r="51" spans="1:36" ht="12.65" customHeight="1">
      <c r="A51" s="10"/>
      <c r="B51" s="10"/>
      <c r="C51" s="10"/>
      <c r="D51" s="10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</row>
    <row r="52" spans="1:36" ht="12.65" customHeight="1">
      <c r="A52" s="19" t="s">
        <v>30</v>
      </c>
      <c r="B52" s="19"/>
      <c r="C52" s="19"/>
      <c r="D52" s="19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</row>
    <row r="53" spans="1:36" ht="12.65" customHeight="1">
      <c r="A53" s="19"/>
      <c r="B53" s="19"/>
      <c r="C53" s="19"/>
      <c r="D53" s="1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</row>
    <row r="54" spans="1:36" ht="12.65" customHeight="1">
      <c r="A54" s="10"/>
      <c r="B54" s="10"/>
      <c r="C54" s="10"/>
      <c r="D54" s="10"/>
      <c r="E54" s="29" t="s">
        <v>31</v>
      </c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</row>
    <row r="55" spans="1:36" ht="12.65" customHeight="1">
      <c r="A55" s="10"/>
      <c r="B55" s="10"/>
      <c r="C55" s="10"/>
      <c r="D55" s="10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</row>
    <row r="56" spans="1:36" ht="12.65" customHeight="1">
      <c r="A56" s="10"/>
      <c r="B56" s="10"/>
      <c r="C56" s="10"/>
      <c r="D56" s="10"/>
      <c r="E56" s="47" t="s">
        <v>32</v>
      </c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</row>
    <row r="57" spans="1:36" ht="12.65" customHeight="1">
      <c r="A57" s="10"/>
      <c r="B57" s="10"/>
      <c r="C57" s="10"/>
      <c r="D57" s="10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</row>
    <row r="58" spans="1:36" ht="12.65" customHeight="1">
      <c r="A58" s="10"/>
      <c r="B58" s="10"/>
      <c r="C58" s="10"/>
      <c r="D58" s="10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</row>
    <row r="59" spans="1:36" ht="12.65" customHeight="1">
      <c r="A59" s="10"/>
      <c r="B59" s="10"/>
      <c r="C59" s="10"/>
      <c r="D59" s="10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</row>
    <row r="60" spans="1:36" ht="12.65" customHeight="1">
      <c r="A60" s="10"/>
      <c r="B60" s="10"/>
      <c r="C60" s="10"/>
      <c r="D60" s="10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</row>
    <row r="61" spans="1:36" ht="12.65" customHeight="1">
      <c r="A61" s="10"/>
      <c r="B61" s="10"/>
      <c r="C61" s="10"/>
      <c r="D61" s="10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</row>
    <row r="62" spans="1:36" ht="12.65" customHeight="1">
      <c r="A62" s="10"/>
      <c r="B62" s="10"/>
      <c r="C62" s="10"/>
      <c r="D62" s="10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</row>
    <row r="63" spans="1:36" ht="12.65" customHeight="1">
      <c r="A63" s="10"/>
      <c r="B63" s="10"/>
      <c r="C63" s="10"/>
      <c r="D63" s="10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</row>
    <row r="64" spans="1:36" ht="12.65" customHeight="1">
      <c r="A64" s="10"/>
      <c r="B64" s="10"/>
      <c r="C64" s="10"/>
      <c r="D64" s="10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</row>
  </sheetData>
  <mergeCells count="54">
    <mergeCell ref="E54:AJ55"/>
    <mergeCell ref="E56:AJ62"/>
    <mergeCell ref="Y10:AC10"/>
    <mergeCell ref="AD5:AJ6"/>
    <mergeCell ref="AD7:AJ9"/>
    <mergeCell ref="AD10:AJ10"/>
    <mergeCell ref="E26:M27"/>
    <mergeCell ref="N26:V27"/>
    <mergeCell ref="W26:AJ27"/>
    <mergeCell ref="X1:AB3"/>
    <mergeCell ref="AC1:AJ3"/>
    <mergeCell ref="E4:AJ4"/>
    <mergeCell ref="E5:I6"/>
    <mergeCell ref="E7:I9"/>
    <mergeCell ref="J5:N6"/>
    <mergeCell ref="J7:N9"/>
    <mergeCell ref="O5:S6"/>
    <mergeCell ref="O7:S9"/>
    <mergeCell ref="T5:X6"/>
    <mergeCell ref="T7:X9"/>
    <mergeCell ref="Y5:AC6"/>
    <mergeCell ref="Y7:AC9"/>
    <mergeCell ref="A48:B50"/>
    <mergeCell ref="C48:D50"/>
    <mergeCell ref="A52:D53"/>
    <mergeCell ref="E1:W2"/>
    <mergeCell ref="E3:W3"/>
    <mergeCell ref="E10:I10"/>
    <mergeCell ref="J10:N10"/>
    <mergeCell ref="O10:S10"/>
    <mergeCell ref="T10:X10"/>
    <mergeCell ref="E50:Q52"/>
    <mergeCell ref="R50:AJ52"/>
    <mergeCell ref="A34:D37"/>
    <mergeCell ref="A38:D38"/>
    <mergeCell ref="A40:B42"/>
    <mergeCell ref="C40:D42"/>
    <mergeCell ref="A44:B46"/>
    <mergeCell ref="C44:D46"/>
    <mergeCell ref="A23:D23"/>
    <mergeCell ref="B24:D24"/>
    <mergeCell ref="A27:D27"/>
    <mergeCell ref="B28:D28"/>
    <mergeCell ref="A32:D32"/>
    <mergeCell ref="B12:D12"/>
    <mergeCell ref="A15:D15"/>
    <mergeCell ref="B16:D16"/>
    <mergeCell ref="A19:D19"/>
    <mergeCell ref="B20:D20"/>
    <mergeCell ref="A1:D4"/>
    <mergeCell ref="A5:D5"/>
    <mergeCell ref="A7:D7"/>
    <mergeCell ref="B8:D8"/>
    <mergeCell ref="A11:D11"/>
  </mergeCells>
  <dataValidations count="6">
    <dataValidation type="list" sqref="B8" xr:uid="{00000000-0002-0000-0000-000000000000}">
      <formula1>"All,J.,Maria.B,Sana Safinaz"</formula1>
    </dataValidation>
    <dataValidation type="list" sqref="B12" xr:uid="{00000000-0002-0000-0000-000001000000}">
      <formula1>"All,Unstitched,Pret,Stitched,Luxury Pret,Formal"</formula1>
    </dataValidation>
    <dataValidation type="list" sqref="B16" xr:uid="{00000000-0002-0000-0000-000002000000}">
      <formula1>"All,2 Piece,3 Piece,Other,Saree,Shirt + Dupatta"</formula1>
    </dataValidation>
    <dataValidation type="list" sqref="B20" xr:uid="{00000000-0002-0000-0000-000003000000}">
      <formula1>"All,Formals,Luxury Formals,Luxury Pret,Ready to Wear,Stitched,Unstitched,Unstitched Fabric,Women Formals,Women Ready to Wear,Women Unstitched"</formula1>
    </dataValidation>
    <dataValidation type="list" sqref="B24" xr:uid="{00000000-0002-0000-0000-000004000000}">
      <formula1>"All,Available"</formula1>
    </dataValidation>
    <dataValidation type="list" sqref="B28" xr:uid="{00000000-0002-0000-0000-000005000000}">
      <formula1>"All,Budget,Mid Range,Premium,Luxury"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282"/>
  <sheetViews>
    <sheetView workbookViewId="0">
      <selection activeCell="I1" sqref="I1:I1048576"/>
    </sheetView>
  </sheetViews>
  <sheetFormatPr defaultRowHeight="14"/>
  <cols>
    <col min="4" max="4" width="15.08203125" bestFit="1" customWidth="1"/>
    <col min="5" max="5" width="9.58203125" bestFit="1" customWidth="1"/>
    <col min="8" max="8" width="11.58203125" bestFit="1" customWidth="1"/>
    <col min="9" max="9" width="12.25" bestFit="1" customWidth="1"/>
    <col min="10" max="10" width="5.75" bestFit="1" customWidth="1"/>
  </cols>
  <sheetData>
    <row r="1" spans="1:37" ht="16.5">
      <c r="A1" s="54" t="s">
        <v>33</v>
      </c>
      <c r="B1" s="54"/>
      <c r="C1" s="54"/>
      <c r="D1" s="54"/>
      <c r="E1" s="54"/>
      <c r="F1" s="54"/>
      <c r="G1" s="54"/>
      <c r="H1" s="54"/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34</v>
      </c>
      <c r="AG1" s="1" t="s">
        <v>36</v>
      </c>
      <c r="AH1" s="1" t="s">
        <v>38</v>
      </c>
      <c r="AI1" s="1" t="s">
        <v>35</v>
      </c>
      <c r="AJ1" s="1" t="s">
        <v>37</v>
      </c>
      <c r="AK1" s="1" t="s">
        <v>39</v>
      </c>
    </row>
    <row r="2" spans="1:37">
      <c r="A2" s="6" t="s">
        <v>12</v>
      </c>
      <c r="B2" t="str">
        <f>Dashboard!B8</f>
        <v>All</v>
      </c>
      <c r="D2" s="1" t="s">
        <v>44</v>
      </c>
      <c r="E2" s="1" t="s">
        <v>45</v>
      </c>
      <c r="G2" s="1" t="s">
        <v>12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19</v>
      </c>
      <c r="M2" s="1" t="s">
        <v>50</v>
      </c>
      <c r="O2" s="1" t="s">
        <v>12</v>
      </c>
      <c r="P2" s="1" t="s">
        <v>51</v>
      </c>
      <c r="Q2" s="1" t="s">
        <v>52</v>
      </c>
      <c r="R2" s="1" t="s">
        <v>53</v>
      </c>
      <c r="S2" s="1" t="s">
        <v>54</v>
      </c>
      <c r="U2" s="4">
        <f>IF(AND($AB2=1,Processed_Data!C2="J."),Processed_Data!J2,NA())</f>
        <v>6900</v>
      </c>
      <c r="V2" s="8">
        <f>IF(AND($AB2=1,Processed_Data!C2="J."),Processed_Data!L2/100,NA())</f>
        <v>0</v>
      </c>
      <c r="W2" s="4" t="e">
        <f>IF(AND($AB2=1,Processed_Data!C2="Maria.B"),Processed_Data!J2,NA())</f>
        <v>#N/A</v>
      </c>
      <c r="X2" s="8" t="e">
        <f>IF(AND($AB2=1,Processed_Data!C2="Maria.B"),Processed_Data!L2/100,NA())</f>
        <v>#N/A</v>
      </c>
      <c r="Y2" s="4" t="e">
        <f>IF(AND($AB2=1,Processed_Data!C2="Sana Safinaz"),Processed_Data!J2,NA())</f>
        <v>#N/A</v>
      </c>
      <c r="Z2" s="8" t="e">
        <f>IF(AND($AB2=1,Processed_Data!C2="Sana Safinaz"),Processed_Data!L2/100,NA())</f>
        <v>#N/A</v>
      </c>
      <c r="AB2">
        <f>--AND(OR($B$2="All",Processed_Data!C2=$B$2),OR($B$3="All",Processed_Data!F2=$B$3),OR($B$4="All",Processed_Data!G2=$B$4),OR($B$5="All",Processed_Data!H2=$B$5),OR($B$6="All",Processed_Data!R2=$B$6),OR($B$7="All",Processed_Data!N2=$B$7))</f>
        <v>1</v>
      </c>
      <c r="AC2">
        <f>IF($AB2=1,Processed_Data!J2,"")</f>
        <v>6900</v>
      </c>
      <c r="AD2">
        <f>IF($AB2=1,Processed_Data!L2,0)</f>
        <v>0</v>
      </c>
      <c r="AE2">
        <f>IF($AB2=1,--(Processed_Data!M2="On Sale"),0)</f>
        <v>0</v>
      </c>
      <c r="AF2">
        <f>IF(AND($AB2=1,Processed_Data!C2="J."),Processed_Data!J2,"")</f>
        <v>6900</v>
      </c>
      <c r="AG2" t="str">
        <f>IF(AND($AB2=1,Processed_Data!C2="Maria.B"),Processed_Data!J2,"")</f>
        <v/>
      </c>
      <c r="AH2" t="str">
        <f>IF(AND($AB2=1,Processed_Data!C2="Sana Safinaz"),Processed_Data!J2,"")</f>
        <v/>
      </c>
      <c r="AI2">
        <f>IF(AND($AB2=1,Processed_Data!C2="J."),Processed_Data!L2,0)</f>
        <v>0</v>
      </c>
      <c r="AJ2">
        <f>IF(AND($AB2=1,Processed_Data!C2="Maria.B"),Processed_Data!L2,0)</f>
        <v>0</v>
      </c>
      <c r="AK2">
        <f>IF(AND($AB2=1,Processed_Data!C2="Sana Safinaz"),Processed_Data!L2,0)</f>
        <v>0</v>
      </c>
    </row>
    <row r="3" spans="1:37">
      <c r="A3" s="6" t="s">
        <v>19</v>
      </c>
      <c r="B3" t="str">
        <f>Dashboard!B12</f>
        <v>All</v>
      </c>
      <c r="D3" t="s">
        <v>55</v>
      </c>
      <c r="E3">
        <f>COUNT(J3:J5)</f>
        <v>3</v>
      </c>
      <c r="G3" t="s">
        <v>56</v>
      </c>
      <c r="H3" s="4">
        <f>IFERROR(MEDIAN(AF2:AF282),NA())</f>
        <v>9990</v>
      </c>
      <c r="I3" s="7">
        <f>IFERROR(SUM(AI2:AI282)/COUNT(AF2:AF282)/100,NA())</f>
        <v>1.7000000000000001E-2</v>
      </c>
      <c r="J3" s="3">
        <f>IF(COUNT(AF2:AF282)=0,NA(),65.28)</f>
        <v>65.28</v>
      </c>
      <c r="K3" s="7">
        <f>IF(AND($B$2&lt;&gt;"All",$B$2&lt;&gt;G3),NA(),IFERROR(COUNTIFS(Processed_Data!$C$2:$C$282,G3,Processed_Data!$M$2:$M$282,"On Sale",Processed_Data!$F$2:$F$282,IF($B$3="All","*",$B$3),Processed_Data!$G$2:$G$282,IF($B$4="All","*",$B$4),Processed_Data!$H$2:$H$282,IF($B$5="All","*",$B$5),Processed_Data!$R$2:$R$282,IF($B$6="All","*",$B$6),Processed_Data!$N$2:$N$282,IF($B$7="All","*",$B$7))/COUNTIFS(Processed_Data!$C$2:$C$282,G3,Processed_Data!$F$2:$F$282,IF($B$3="All","*",$B$3),Processed_Data!$G$2:$G$282,IF($B$4="All","*",$B$4),Processed_Data!$H$2:$H$282,IF($B$5="All","*",$B$5),Processed_Data!$R$2:$R$282,IF($B$6="All","*",$B$6),Processed_Data!$N$2:$N$282,IF($B$7="All","*",$B$7)),NA()))</f>
        <v>0.04</v>
      </c>
      <c r="L3" t="s">
        <v>57</v>
      </c>
      <c r="M3">
        <f>IF(AND($B$3&lt;&gt;"All",$B$3&lt;&gt;L3),0,COUNTIFS(Processed_Data!$F$2:$F$282,L3,Processed_Data!$C$2:$C$282,IF($B$2="All","*",$B$2),Processed_Data!$G$2:$G$282,IF($B$4="All","*",$B$4),Processed_Data!$H$2:$H$282,IF($B$5="All","*",$B$5),Processed_Data!$R$2:$R$282,IF($B$6="All","*",$B$6),Processed_Data!$N$2:$N$282,IF($B$7="All","*",$B$7)))</f>
        <v>84</v>
      </c>
      <c r="O3" t="s">
        <v>56</v>
      </c>
      <c r="P3" s="8">
        <f>IF(OR(AND($B$2&lt;&gt;"All",$B$2&lt;&gt;O3),AND($B$7&lt;&gt;"All",$B$7&lt;&gt;"Budget")),0,IFERROR(COUNTIFS(Processed_Data!$C$2:$C$282,O3,Processed_Data!$N$2:$N$282,"Budget",Processed_Data!$F$2:$F$282,IF($B$3="All","*",$B$3),Processed_Data!$G$2:$G$282,IF($B$4="All","*",$B$4),Processed_Data!$H$2:$H$282,IF($B$5="All","*",$B$5),Processed_Data!$R$2:$R$282,IF($B$6="All","*",$B$6),Processed_Data!$N$2:$N$282,IF($B$7="All","*",$B$7))/COUNTIFS(Processed_Data!$C$2:$C$282,O3,Processed_Data!$F$2:$F$282,IF($B$3="All","*",$B$3),Processed_Data!$G$2:$G$282,IF($B$4="All","*",$B$4),Processed_Data!$H$2:$H$282,IF($B$5="All","*",$B$5),Processed_Data!$R$2:$R$282,IF($B$6="All","*",$B$6),Processed_Data!$N$2:$N$282,IF($B$7="All","*",$B$7)),0))</f>
        <v>0.4</v>
      </c>
      <c r="Q3" s="8">
        <f>IF(OR(AND($B$2&lt;&gt;"All",$B$2&lt;&gt;O3),AND($B$7&lt;&gt;"All",$B$7&lt;&gt;"Mid Range")),0,IFERROR(COUNTIFS(Processed_Data!$C$2:$C$282,O3,Processed_Data!$N$2:$N$282,"Mid Range",Processed_Data!$F$2:$F$282,IF($B$3="All","*",$B$3),Processed_Data!$G$2:$G$282,IF($B$4="All","*",$B$4),Processed_Data!$H$2:$H$282,IF($B$5="All","*",$B$5),Processed_Data!$R$2:$R$282,IF($B$6="All","*",$B$6),Processed_Data!$N$2:$N$282,IF($B$7="All","*",$B$7))/COUNTIFS(Processed_Data!$C$2:$C$282,O3,Processed_Data!$F$2:$F$282,IF($B$3="All","*",$B$3),Processed_Data!$G$2:$G$282,IF($B$4="All","*",$B$4),Processed_Data!$H$2:$H$282,IF($B$5="All","*",$B$5),Processed_Data!$R$2:$R$282,IF($B$6="All","*",$B$6),Processed_Data!$N$2:$N$282,IF($B$7="All","*",$B$7)),0))</f>
        <v>0.42</v>
      </c>
      <c r="R3" s="8">
        <f>IF(OR(AND($B$2&lt;&gt;"All",$B$2&lt;&gt;O3),AND($B$7&lt;&gt;"All",$B$7&lt;&gt;"Premium")),0,IFERROR(COUNTIFS(Processed_Data!$C$2:$C$282,O3,Processed_Data!$N$2:$N$282,"Premium",Processed_Data!$F$2:$F$282,IF($B$3="All","*",$B$3),Processed_Data!$G$2:$G$282,IF($B$4="All","*",$B$4),Processed_Data!$H$2:$H$282,IF($B$5="All","*",$B$5),Processed_Data!$R$2:$R$282,IF($B$6="All","*",$B$6),Processed_Data!$N$2:$N$282,IF($B$7="All","*",$B$7))/COUNTIFS(Processed_Data!$C$2:$C$282,O3,Processed_Data!$F$2:$F$282,IF($B$3="All","*",$B$3),Processed_Data!$G$2:$G$282,IF($B$4="All","*",$B$4),Processed_Data!$H$2:$H$282,IF($B$5="All","*",$B$5),Processed_Data!$R$2:$R$282,IF($B$6="All","*",$B$6),Processed_Data!$N$2:$N$282,IF($B$7="All","*",$B$7)),0))</f>
        <v>0.18</v>
      </c>
      <c r="S3" s="8">
        <f>IF(OR(AND($B$2&lt;&gt;"All",$B$2&lt;&gt;O3),AND($B$7&lt;&gt;"All",$B$7&lt;&gt;"Luxury")),0,IFERROR(COUNTIFS(Processed_Data!$C$2:$C$282,O3,Processed_Data!$N$2:$N$282,"Luxury",Processed_Data!$F$2:$F$282,IF($B$3="All","*",$B$3),Processed_Data!$G$2:$G$282,IF($B$4="All","*",$B$4),Processed_Data!$H$2:$H$282,IF($B$5="All","*",$B$5),Processed_Data!$R$2:$R$282,IF($B$6="All","*",$B$6),Processed_Data!$N$2:$N$282,IF($B$7="All","*",$B$7))/COUNTIFS(Processed_Data!$C$2:$C$282,O3,Processed_Data!$F$2:$F$282,IF($B$3="All","*",$B$3),Processed_Data!$G$2:$G$282,IF($B$4="All","*",$B$4),Processed_Data!$H$2:$H$282,IF($B$5="All","*",$B$5),Processed_Data!$R$2:$R$282,IF($B$6="All","*",$B$6),Processed_Data!$N$2:$N$282,IF($B$7="All","*",$B$7)),0))</f>
        <v>0</v>
      </c>
      <c r="U3" s="4">
        <f>IF(AND($AB3=1,Processed_Data!C3="J."),Processed_Data!J3,NA())</f>
        <v>6900</v>
      </c>
      <c r="V3" s="8">
        <f>IF(AND($AB3=1,Processed_Data!C3="J."),Processed_Data!L3/100,NA())</f>
        <v>0</v>
      </c>
      <c r="W3" s="4" t="e">
        <f>IF(AND($AB3=1,Processed_Data!C3="Maria.B"),Processed_Data!J3,NA())</f>
        <v>#N/A</v>
      </c>
      <c r="X3" s="8" t="e">
        <f>IF(AND($AB3=1,Processed_Data!C3="Maria.B"),Processed_Data!L3/100,NA())</f>
        <v>#N/A</v>
      </c>
      <c r="Y3" s="4" t="e">
        <f>IF(AND($AB3=1,Processed_Data!C3="Sana Safinaz"),Processed_Data!J3,NA())</f>
        <v>#N/A</v>
      </c>
      <c r="Z3" s="8" t="e">
        <f>IF(AND($AB3=1,Processed_Data!C3="Sana Safinaz"),Processed_Data!L3/100,NA())</f>
        <v>#N/A</v>
      </c>
      <c r="AB3">
        <f>--AND(OR($B$2="All",Processed_Data!C3=$B$2),OR($B$3="All",Processed_Data!F3=$B$3),OR($B$4="All",Processed_Data!G3=$B$4),OR($B$5="All",Processed_Data!H3=$B$5),OR($B$6="All",Processed_Data!R3=$B$6),OR($B$7="All",Processed_Data!N3=$B$7))</f>
        <v>1</v>
      </c>
      <c r="AC3">
        <f>IF($AB3=1,Processed_Data!J3,"")</f>
        <v>6900</v>
      </c>
      <c r="AD3">
        <f>IF($AB3=1,Processed_Data!L3,0)</f>
        <v>0</v>
      </c>
      <c r="AE3">
        <f>IF($AB3=1,--(Processed_Data!M3="On Sale"),0)</f>
        <v>0</v>
      </c>
      <c r="AF3">
        <f>IF(AND($AB3=1,Processed_Data!C3="J."),Processed_Data!J3,"")</f>
        <v>6900</v>
      </c>
      <c r="AG3" t="str">
        <f>IF(AND($AB3=1,Processed_Data!C3="Maria.B"),Processed_Data!J3,"")</f>
        <v/>
      </c>
      <c r="AH3" t="str">
        <f>IF(AND($AB3=1,Processed_Data!C3="Sana Safinaz"),Processed_Data!J3,"")</f>
        <v/>
      </c>
      <c r="AI3">
        <f>IF(AND($AB3=1,Processed_Data!C3="J."),Processed_Data!L3,0)</f>
        <v>0</v>
      </c>
      <c r="AJ3">
        <f>IF(AND($AB3=1,Processed_Data!C3="Maria.B"),Processed_Data!L3,0)</f>
        <v>0</v>
      </c>
      <c r="AK3">
        <f>IF(AND($AB3=1,Processed_Data!C3="Sana Safinaz"),Processed_Data!L3,0)</f>
        <v>0</v>
      </c>
    </row>
    <row r="4" spans="1:37">
      <c r="A4" s="6" t="s">
        <v>20</v>
      </c>
      <c r="B4" t="str">
        <f>Dashboard!B16</f>
        <v>All</v>
      </c>
      <c r="D4" t="s">
        <v>50</v>
      </c>
      <c r="E4">
        <f>SUM(AB2:AB282)</f>
        <v>281</v>
      </c>
      <c r="G4" t="s">
        <v>58</v>
      </c>
      <c r="H4" s="4">
        <f>IFERROR(MEDIAN(AG2:AG282),NA())</f>
        <v>23990</v>
      </c>
      <c r="I4" s="7">
        <f>IFERROR(SUM(AJ2:AJ282)/COUNT(AG2:AG282)/100,NA())</f>
        <v>1.4999999999999999E-2</v>
      </c>
      <c r="J4" s="3">
        <f>IF(COUNT(AG2:AG282)=0,NA(),45.32)</f>
        <v>45.32</v>
      </c>
      <c r="K4" s="7">
        <f>IF(AND($B$2&lt;&gt;"All",$B$2&lt;&gt;G4),NA(),IFERROR(COUNTIFS(Processed_Data!$C$2:$C$282,G4,Processed_Data!$M$2:$M$282,"On Sale",Processed_Data!$F$2:$F$282,IF($B$3="All","*",$B$3),Processed_Data!$G$2:$G$282,IF($B$4="All","*",$B$4),Processed_Data!$H$2:$H$282,IF($B$5="All","*",$B$5),Processed_Data!$R$2:$R$282,IF($B$6="All","*",$B$6),Processed_Data!$N$2:$N$282,IF($B$7="All","*",$B$7))/COUNTIFS(Processed_Data!$C$2:$C$282,G4,Processed_Data!$F$2:$F$282,IF($B$3="All","*",$B$3),Processed_Data!$G$2:$G$282,IF($B$4="All","*",$B$4),Processed_Data!$H$2:$H$282,IF($B$5="All","*",$B$5),Processed_Data!$R$2:$R$282,IF($B$6="All","*",$B$6),Processed_Data!$N$2:$N$282,IF($B$7="All","*",$B$7)),NA()))</f>
        <v>0.15</v>
      </c>
      <c r="L4" t="s">
        <v>59</v>
      </c>
      <c r="M4">
        <f>IF(AND($B$3&lt;&gt;"All",$B$3&lt;&gt;L4),0,COUNTIFS(Processed_Data!$F$2:$F$282,L4,Processed_Data!$C$2:$C$282,IF($B$2="All","*",$B$2),Processed_Data!$G$2:$G$282,IF($B$4="All","*",$B$4),Processed_Data!$H$2:$H$282,IF($B$5="All","*",$B$5),Processed_Data!$R$2:$R$282,IF($B$6="All","*",$B$6),Processed_Data!$N$2:$N$282,IF($B$7="All","*",$B$7)))</f>
        <v>63</v>
      </c>
      <c r="O4" t="s">
        <v>58</v>
      </c>
      <c r="P4" s="8">
        <f>IF(OR(AND($B$2&lt;&gt;"All",$B$2&lt;&gt;O4),AND($B$7&lt;&gt;"All",$B$7&lt;&gt;"Budget")),0,IFERROR(COUNTIFS(Processed_Data!$C$2:$C$282,O4,Processed_Data!$N$2:$N$282,"Budget",Processed_Data!$F$2:$F$282,IF($B$3="All","*",$B$3),Processed_Data!$G$2:$G$282,IF($B$4="All","*",$B$4),Processed_Data!$H$2:$H$282,IF($B$5="All","*",$B$5),Processed_Data!$R$2:$R$282,IF($B$6="All","*",$B$6),Processed_Data!$N$2:$N$282,IF($B$7="All","*",$B$7))/COUNTIFS(Processed_Data!$C$2:$C$282,O4,Processed_Data!$F$2:$F$282,IF($B$3="All","*",$B$3),Processed_Data!$G$2:$G$282,IF($B$4="All","*",$B$4),Processed_Data!$H$2:$H$282,IF($B$5="All","*",$B$5),Processed_Data!$R$2:$R$282,IF($B$6="All","*",$B$6),Processed_Data!$N$2:$N$282,IF($B$7="All","*",$B$7)),0))</f>
        <v>0</v>
      </c>
      <c r="Q4" s="8">
        <f>IF(OR(AND($B$2&lt;&gt;"All",$B$2&lt;&gt;O4),AND($B$7&lt;&gt;"All",$B$7&lt;&gt;"Mid Range")),0,IFERROR(COUNTIFS(Processed_Data!$C$2:$C$282,O4,Processed_Data!$N$2:$N$282,"Mid Range",Processed_Data!$F$2:$F$282,IF($B$3="All","*",$B$3),Processed_Data!$G$2:$G$282,IF($B$4="All","*",$B$4),Processed_Data!$H$2:$H$282,IF($B$5="All","*",$B$5),Processed_Data!$R$2:$R$282,IF($B$6="All","*",$B$6),Processed_Data!$N$2:$N$282,IF($B$7="All","*",$B$7))/COUNTIFS(Processed_Data!$C$2:$C$282,O4,Processed_Data!$F$2:$F$282,IF($B$3="All","*",$B$3),Processed_Data!$G$2:$G$282,IF($B$4="All","*",$B$4),Processed_Data!$H$2:$H$282,IF($B$5="All","*",$B$5),Processed_Data!$R$2:$R$282,IF($B$6="All","*",$B$6),Processed_Data!$N$2:$N$282,IF($B$7="All","*",$B$7)),0))</f>
        <v>0.17</v>
      </c>
      <c r="R4" s="8">
        <f>IF(OR(AND($B$2&lt;&gt;"All",$B$2&lt;&gt;O4),AND($B$7&lt;&gt;"All",$B$7&lt;&gt;"Premium")),0,IFERROR(COUNTIFS(Processed_Data!$C$2:$C$282,O4,Processed_Data!$N$2:$N$282,"Premium",Processed_Data!$F$2:$F$282,IF($B$3="All","*",$B$3),Processed_Data!$G$2:$G$282,IF($B$4="All","*",$B$4),Processed_Data!$H$2:$H$282,IF($B$5="All","*",$B$5),Processed_Data!$R$2:$R$282,IF($B$6="All","*",$B$6),Processed_Data!$N$2:$N$282,IF($B$7="All","*",$B$7))/COUNTIFS(Processed_Data!$C$2:$C$282,O4,Processed_Data!$F$2:$F$282,IF($B$3="All","*",$B$3),Processed_Data!$G$2:$G$282,IF($B$4="All","*",$B$4),Processed_Data!$H$2:$H$282,IF($B$5="All","*",$B$5),Processed_Data!$R$2:$R$282,IF($B$6="All","*",$B$6),Processed_Data!$N$2:$N$282,IF($B$7="All","*",$B$7)),0))</f>
        <v>0.5</v>
      </c>
      <c r="S4" s="8">
        <f>IF(OR(AND($B$2&lt;&gt;"All",$B$2&lt;&gt;O4),AND($B$7&lt;&gt;"All",$B$7&lt;&gt;"Luxury")),0,IFERROR(COUNTIFS(Processed_Data!$C$2:$C$282,O4,Processed_Data!$N$2:$N$282,"Luxury",Processed_Data!$F$2:$F$282,IF($B$3="All","*",$B$3),Processed_Data!$G$2:$G$282,IF($B$4="All","*",$B$4),Processed_Data!$H$2:$H$282,IF($B$5="All","*",$B$5),Processed_Data!$R$2:$R$282,IF($B$6="All","*",$B$6),Processed_Data!$N$2:$N$282,IF($B$7="All","*",$B$7))/COUNTIFS(Processed_Data!$C$2:$C$282,O4,Processed_Data!$F$2:$F$282,IF($B$3="All","*",$B$3),Processed_Data!$G$2:$G$282,IF($B$4="All","*",$B$4),Processed_Data!$H$2:$H$282,IF($B$5="All","*",$B$5),Processed_Data!$R$2:$R$282,IF($B$6="All","*",$B$6),Processed_Data!$N$2:$N$282,IF($B$7="All","*",$B$7)),0))</f>
        <v>0.33</v>
      </c>
      <c r="U4" s="4">
        <f>IF(AND($AB4=1,Processed_Data!C4="J."),Processed_Data!J4,NA())</f>
        <v>6900</v>
      </c>
      <c r="V4" s="8">
        <f>IF(AND($AB4=1,Processed_Data!C4="J."),Processed_Data!L4/100,NA())</f>
        <v>0</v>
      </c>
      <c r="W4" s="4" t="e">
        <f>IF(AND($AB4=1,Processed_Data!C4="Maria.B"),Processed_Data!J4,NA())</f>
        <v>#N/A</v>
      </c>
      <c r="X4" s="8" t="e">
        <f>IF(AND($AB4=1,Processed_Data!C4="Maria.B"),Processed_Data!L4/100,NA())</f>
        <v>#N/A</v>
      </c>
      <c r="Y4" s="4" t="e">
        <f>IF(AND($AB4=1,Processed_Data!C4="Sana Safinaz"),Processed_Data!J4,NA())</f>
        <v>#N/A</v>
      </c>
      <c r="Z4" s="8" t="e">
        <f>IF(AND($AB4=1,Processed_Data!C4="Sana Safinaz"),Processed_Data!L4/100,NA())</f>
        <v>#N/A</v>
      </c>
      <c r="AB4">
        <f>--AND(OR($B$2="All",Processed_Data!C4=$B$2),OR($B$3="All",Processed_Data!F4=$B$3),OR($B$4="All",Processed_Data!G4=$B$4),OR($B$5="All",Processed_Data!H4=$B$5),OR($B$6="All",Processed_Data!R4=$B$6),OR($B$7="All",Processed_Data!N4=$B$7))</f>
        <v>1</v>
      </c>
      <c r="AC4">
        <f>IF($AB4=1,Processed_Data!J4,"")</f>
        <v>6900</v>
      </c>
      <c r="AD4">
        <f>IF($AB4=1,Processed_Data!L4,0)</f>
        <v>0</v>
      </c>
      <c r="AE4">
        <f>IF($AB4=1,--(Processed_Data!M4="On Sale"),0)</f>
        <v>0</v>
      </c>
      <c r="AF4">
        <f>IF(AND($AB4=1,Processed_Data!C4="J."),Processed_Data!J4,"")</f>
        <v>6900</v>
      </c>
      <c r="AG4" t="str">
        <f>IF(AND($AB4=1,Processed_Data!C4="Maria.B"),Processed_Data!J4,"")</f>
        <v/>
      </c>
      <c r="AH4" t="str">
        <f>IF(AND($AB4=1,Processed_Data!C4="Sana Safinaz"),Processed_Data!J4,"")</f>
        <v/>
      </c>
      <c r="AI4">
        <f>IF(AND($AB4=1,Processed_Data!C4="J."),Processed_Data!L4,0)</f>
        <v>0</v>
      </c>
      <c r="AJ4">
        <f>IF(AND($AB4=1,Processed_Data!C4="Maria.B"),Processed_Data!L4,0)</f>
        <v>0</v>
      </c>
      <c r="AK4">
        <f>IF(AND($AB4=1,Processed_Data!C4="Sana Safinaz"),Processed_Data!L4,0)</f>
        <v>0</v>
      </c>
    </row>
    <row r="5" spans="1:37">
      <c r="A5" s="6" t="s">
        <v>21</v>
      </c>
      <c r="B5" t="str">
        <f>Dashboard!B20</f>
        <v>All</v>
      </c>
      <c r="D5" t="s">
        <v>46</v>
      </c>
      <c r="E5" s="4">
        <f>IFERROR(MEDIAN(AC2:AC282),0)</f>
        <v>12990</v>
      </c>
      <c r="G5" t="s">
        <v>60</v>
      </c>
      <c r="H5" s="4">
        <f>IFERROR(MEDIAN(AH2:AH282),NA())</f>
        <v>8999</v>
      </c>
      <c r="I5" s="7">
        <f>IFERROR(SUM(AK2:AK282)/COUNT(AH2:AH282)/100,NA())</f>
        <v>0.12071975308641976</v>
      </c>
      <c r="J5" s="3">
        <f>IF(COUNT(AH2:AH282)=0,NA(),81.18)</f>
        <v>81.180000000000007</v>
      </c>
      <c r="K5" s="7">
        <f>IF(AND($B$2&lt;&gt;"All",$B$2&lt;&gt;G5),NA(),IFERROR(COUNTIFS(Processed_Data!$C$2:$C$282,G5,Processed_Data!$M$2:$M$282,"On Sale",Processed_Data!$F$2:$F$282,IF($B$3="All","*",$B$3),Processed_Data!$G$2:$G$282,IF($B$4="All","*",$B$4),Processed_Data!$H$2:$H$282,IF($B$5="All","*",$B$5),Processed_Data!$R$2:$R$282,IF($B$6="All","*",$B$6),Processed_Data!$N$2:$N$282,IF($B$7="All","*",$B$7))/COUNTIFS(Processed_Data!$C$2:$C$282,G5,Processed_Data!$F$2:$F$282,IF($B$3="All","*",$B$3),Processed_Data!$G$2:$G$282,IF($B$4="All","*",$B$4),Processed_Data!$H$2:$H$282,IF($B$5="All","*",$B$5),Processed_Data!$R$2:$R$282,IF($B$6="All","*",$B$6),Processed_Data!$N$2:$N$282,IF($B$7="All","*",$B$7)),NA()))</f>
        <v>0.24691358024691357</v>
      </c>
      <c r="L5" t="s">
        <v>61</v>
      </c>
      <c r="M5">
        <f>IF(AND($B$3&lt;&gt;"All",$B$3&lt;&gt;L5),0,COUNTIFS(Processed_Data!$F$2:$F$282,L5,Processed_Data!$C$2:$C$282,IF($B$2="All","*",$B$2),Processed_Data!$G$2:$G$282,IF($B$4="All","*",$B$4),Processed_Data!$H$2:$H$282,IF($B$5="All","*",$B$5),Processed_Data!$R$2:$R$282,IF($B$6="All","*",$B$6),Processed_Data!$N$2:$N$282,IF($B$7="All","*",$B$7)))</f>
        <v>59</v>
      </c>
      <c r="O5" t="s">
        <v>60</v>
      </c>
      <c r="P5" s="8">
        <f>IF(OR(AND($B$2&lt;&gt;"All",$B$2&lt;&gt;O5),AND($B$7&lt;&gt;"All",$B$7&lt;&gt;"Budget")),0,IFERROR(COUNTIFS(Processed_Data!$C$2:$C$282,O5,Processed_Data!$N$2:$N$282,"Budget",Processed_Data!$F$2:$F$282,IF($B$3="All","*",$B$3),Processed_Data!$G$2:$G$282,IF($B$4="All","*",$B$4),Processed_Data!$H$2:$H$282,IF($B$5="All","*",$B$5),Processed_Data!$R$2:$R$282,IF($B$6="All","*",$B$6),Processed_Data!$N$2:$N$282,IF($B$7="All","*",$B$7))/COUNTIFS(Processed_Data!$C$2:$C$282,O5,Processed_Data!$F$2:$F$282,IF($B$3="All","*",$B$3),Processed_Data!$G$2:$G$282,IF($B$4="All","*",$B$4),Processed_Data!$H$2:$H$282,IF($B$5="All","*",$B$5),Processed_Data!$R$2:$R$282,IF($B$6="All","*",$B$6),Processed_Data!$N$2:$N$282,IF($B$7="All","*",$B$7)),0))</f>
        <v>0.41975308641975306</v>
      </c>
      <c r="Q5" s="8">
        <f>IF(OR(AND($B$2&lt;&gt;"All",$B$2&lt;&gt;O5),AND($B$7&lt;&gt;"All",$B$7&lt;&gt;"Mid Range")),0,IFERROR(COUNTIFS(Processed_Data!$C$2:$C$282,O5,Processed_Data!$N$2:$N$282,"Mid Range",Processed_Data!$F$2:$F$282,IF($B$3="All","*",$B$3),Processed_Data!$G$2:$G$282,IF($B$4="All","*",$B$4),Processed_Data!$H$2:$H$282,IF($B$5="All","*",$B$5),Processed_Data!$R$2:$R$282,IF($B$6="All","*",$B$6),Processed_Data!$N$2:$N$282,IF($B$7="All","*",$B$7))/COUNTIFS(Processed_Data!$C$2:$C$282,O5,Processed_Data!$F$2:$F$282,IF($B$3="All","*",$B$3),Processed_Data!$G$2:$G$282,IF($B$4="All","*",$B$4),Processed_Data!$H$2:$H$282,IF($B$5="All","*",$B$5),Processed_Data!$R$2:$R$282,IF($B$6="All","*",$B$6),Processed_Data!$N$2:$N$282,IF($B$7="All","*",$B$7)),0))</f>
        <v>0.2839506172839506</v>
      </c>
      <c r="R5" s="8">
        <f>IF(OR(AND($B$2&lt;&gt;"All",$B$2&lt;&gt;O5),AND($B$7&lt;&gt;"All",$B$7&lt;&gt;"Premium")),0,IFERROR(COUNTIFS(Processed_Data!$C$2:$C$282,O5,Processed_Data!$N$2:$N$282,"Premium",Processed_Data!$F$2:$F$282,IF($B$3="All","*",$B$3),Processed_Data!$G$2:$G$282,IF($B$4="All","*",$B$4),Processed_Data!$H$2:$H$282,IF($B$5="All","*",$B$5),Processed_Data!$R$2:$R$282,IF($B$6="All","*",$B$6),Processed_Data!$N$2:$N$282,IF($B$7="All","*",$B$7))/COUNTIFS(Processed_Data!$C$2:$C$282,O5,Processed_Data!$F$2:$F$282,IF($B$3="All","*",$B$3),Processed_Data!$G$2:$G$282,IF($B$4="All","*",$B$4),Processed_Data!$H$2:$H$282,IF($B$5="All","*",$B$5),Processed_Data!$R$2:$R$282,IF($B$6="All","*",$B$6),Processed_Data!$N$2:$N$282,IF($B$7="All","*",$B$7)),0))</f>
        <v>9.8765432098765427E-2</v>
      </c>
      <c r="S5" s="8">
        <f>IF(OR(AND($B$2&lt;&gt;"All",$B$2&lt;&gt;O5),AND($B$7&lt;&gt;"All",$B$7&lt;&gt;"Luxury")),0,IFERROR(COUNTIFS(Processed_Data!$C$2:$C$282,O5,Processed_Data!$N$2:$N$282,"Luxury",Processed_Data!$F$2:$F$282,IF($B$3="All","*",$B$3),Processed_Data!$G$2:$G$282,IF($B$4="All","*",$B$4),Processed_Data!$H$2:$H$282,IF($B$5="All","*",$B$5),Processed_Data!$R$2:$R$282,IF($B$6="All","*",$B$6),Processed_Data!$N$2:$N$282,IF($B$7="All","*",$B$7))/COUNTIFS(Processed_Data!$C$2:$C$282,O5,Processed_Data!$F$2:$F$282,IF($B$3="All","*",$B$3),Processed_Data!$G$2:$G$282,IF($B$4="All","*",$B$4),Processed_Data!$H$2:$H$282,IF($B$5="All","*",$B$5),Processed_Data!$R$2:$R$282,IF($B$6="All","*",$B$6),Processed_Data!$N$2:$N$282,IF($B$7="All","*",$B$7)),0))</f>
        <v>0.19753086419753085</v>
      </c>
      <c r="U5" s="4">
        <f>IF(AND($AB5=1,Processed_Data!C5="J."),Processed_Data!J5,NA())</f>
        <v>6900</v>
      </c>
      <c r="V5" s="8">
        <f>IF(AND($AB5=1,Processed_Data!C5="J."),Processed_Data!L5/100,NA())</f>
        <v>0</v>
      </c>
      <c r="W5" s="4" t="e">
        <f>IF(AND($AB5=1,Processed_Data!C5="Maria.B"),Processed_Data!J5,NA())</f>
        <v>#N/A</v>
      </c>
      <c r="X5" s="8" t="e">
        <f>IF(AND($AB5=1,Processed_Data!C5="Maria.B"),Processed_Data!L5/100,NA())</f>
        <v>#N/A</v>
      </c>
      <c r="Y5" s="4" t="e">
        <f>IF(AND($AB5=1,Processed_Data!C5="Sana Safinaz"),Processed_Data!J5,NA())</f>
        <v>#N/A</v>
      </c>
      <c r="Z5" s="8" t="e">
        <f>IF(AND($AB5=1,Processed_Data!C5="Sana Safinaz"),Processed_Data!L5/100,NA())</f>
        <v>#N/A</v>
      </c>
      <c r="AB5">
        <f>--AND(OR($B$2="All",Processed_Data!C5=$B$2),OR($B$3="All",Processed_Data!F5=$B$3),OR($B$4="All",Processed_Data!G5=$B$4),OR($B$5="All",Processed_Data!H5=$B$5),OR($B$6="All",Processed_Data!R5=$B$6),OR($B$7="All",Processed_Data!N5=$B$7))</f>
        <v>1</v>
      </c>
      <c r="AC5">
        <f>IF($AB5=1,Processed_Data!J5,"")</f>
        <v>6900</v>
      </c>
      <c r="AD5">
        <f>IF($AB5=1,Processed_Data!L5,0)</f>
        <v>0</v>
      </c>
      <c r="AE5">
        <f>IF($AB5=1,--(Processed_Data!M5="On Sale"),0)</f>
        <v>0</v>
      </c>
      <c r="AF5">
        <f>IF(AND($AB5=1,Processed_Data!C5="J."),Processed_Data!J5,"")</f>
        <v>6900</v>
      </c>
      <c r="AG5" t="str">
        <f>IF(AND($AB5=1,Processed_Data!C5="Maria.B"),Processed_Data!J5,"")</f>
        <v/>
      </c>
      <c r="AH5" t="str">
        <f>IF(AND($AB5=1,Processed_Data!C5="Sana Safinaz"),Processed_Data!J5,"")</f>
        <v/>
      </c>
      <c r="AI5">
        <f>IF(AND($AB5=1,Processed_Data!C5="J."),Processed_Data!L5,0)</f>
        <v>0</v>
      </c>
      <c r="AJ5">
        <f>IF(AND($AB5=1,Processed_Data!C5="Maria.B"),Processed_Data!L5,0)</f>
        <v>0</v>
      </c>
      <c r="AK5">
        <f>IF(AND($AB5=1,Processed_Data!C5="Sana Safinaz"),Processed_Data!L5,0)</f>
        <v>0</v>
      </c>
    </row>
    <row r="6" spans="1:37">
      <c r="A6" s="6" t="s">
        <v>22</v>
      </c>
      <c r="B6" t="str">
        <f>Dashboard!B24</f>
        <v>All</v>
      </c>
      <c r="D6" t="s">
        <v>62</v>
      </c>
      <c r="E6" s="7">
        <f>IFERROR(SUM(AD2:AD282)/SUM(AB2:AB282)/100,0)</f>
        <v>4.6186120996441281E-2</v>
      </c>
      <c r="L6" t="s">
        <v>63</v>
      </c>
      <c r="M6">
        <f>IF(AND($B$3&lt;&gt;"All",$B$3&lt;&gt;L6),0,COUNTIFS(Processed_Data!$F$2:$F$282,L6,Processed_Data!$C$2:$C$282,IF($B$2="All","*",$B$2),Processed_Data!$G$2:$G$282,IF($B$4="All","*",$B$4),Processed_Data!$H$2:$H$282,IF($B$5="All","*",$B$5),Processed_Data!$R$2:$R$282,IF($B$6="All","*",$B$6),Processed_Data!$N$2:$N$282,IF($B$7="All","*",$B$7)))</f>
        <v>50</v>
      </c>
      <c r="U6" s="4">
        <f>IF(AND($AB6=1,Processed_Data!C6="J."),Processed_Data!J6,NA())</f>
        <v>4500</v>
      </c>
      <c r="V6" s="8">
        <f>IF(AND($AB6=1,Processed_Data!C6="J."),Processed_Data!L6/100,NA())</f>
        <v>0</v>
      </c>
      <c r="W6" s="4" t="e">
        <f>IF(AND($AB6=1,Processed_Data!C6="Maria.B"),Processed_Data!J6,NA())</f>
        <v>#N/A</v>
      </c>
      <c r="X6" s="8" t="e">
        <f>IF(AND($AB6=1,Processed_Data!C6="Maria.B"),Processed_Data!L6/100,NA())</f>
        <v>#N/A</v>
      </c>
      <c r="Y6" s="4" t="e">
        <f>IF(AND($AB6=1,Processed_Data!C6="Sana Safinaz"),Processed_Data!J6,NA())</f>
        <v>#N/A</v>
      </c>
      <c r="Z6" s="8" t="e">
        <f>IF(AND($AB6=1,Processed_Data!C6="Sana Safinaz"),Processed_Data!L6/100,NA())</f>
        <v>#N/A</v>
      </c>
      <c r="AB6">
        <f>--AND(OR($B$2="All",Processed_Data!C6=$B$2),OR($B$3="All",Processed_Data!F6=$B$3),OR($B$4="All",Processed_Data!G6=$B$4),OR($B$5="All",Processed_Data!H6=$B$5),OR($B$6="All",Processed_Data!R6=$B$6),OR($B$7="All",Processed_Data!N6=$B$7))</f>
        <v>1</v>
      </c>
      <c r="AC6">
        <f>IF($AB6=1,Processed_Data!J6,"")</f>
        <v>4500</v>
      </c>
      <c r="AD6">
        <f>IF($AB6=1,Processed_Data!L6,0)</f>
        <v>0</v>
      </c>
      <c r="AE6">
        <f>IF($AB6=1,--(Processed_Data!M6="On Sale"),0)</f>
        <v>0</v>
      </c>
      <c r="AF6">
        <f>IF(AND($AB6=1,Processed_Data!C6="J."),Processed_Data!J6,"")</f>
        <v>4500</v>
      </c>
      <c r="AG6" t="str">
        <f>IF(AND($AB6=1,Processed_Data!C6="Maria.B"),Processed_Data!J6,"")</f>
        <v/>
      </c>
      <c r="AH6" t="str">
        <f>IF(AND($AB6=1,Processed_Data!C6="Sana Safinaz"),Processed_Data!J6,"")</f>
        <v/>
      </c>
      <c r="AI6">
        <f>IF(AND($AB6=1,Processed_Data!C6="J."),Processed_Data!L6,0)</f>
        <v>0</v>
      </c>
      <c r="AJ6">
        <f>IF(AND($AB6=1,Processed_Data!C6="Maria.B"),Processed_Data!L6,0)</f>
        <v>0</v>
      </c>
      <c r="AK6">
        <f>IF(AND($AB6=1,Processed_Data!C6="Sana Safinaz"),Processed_Data!L6,0)</f>
        <v>0</v>
      </c>
    </row>
    <row r="7" spans="1:37">
      <c r="A7" s="6" t="s">
        <v>26</v>
      </c>
      <c r="B7" t="str">
        <f>Dashboard!B28</f>
        <v>All</v>
      </c>
      <c r="D7" t="s">
        <v>64</v>
      </c>
      <c r="E7" s="7">
        <f>COUNTIF(M3:M7,"&gt;0")</f>
        <v>5</v>
      </c>
      <c r="L7" t="s">
        <v>65</v>
      </c>
      <c r="M7">
        <f>IF(AND($B$3&lt;&gt;"All",$B$3&lt;&gt;L7),0,COUNTIFS(Processed_Data!$F$2:$F$282,L7,Processed_Data!$C$2:$C$282,IF($B$2="All","*",$B$2),Processed_Data!$G$2:$G$282,IF($B$4="All","*",$B$4),Processed_Data!$H$2:$H$282,IF($B$5="All","*",$B$5),Processed_Data!$R$2:$R$282,IF($B$6="All","*",$B$6),Processed_Data!$N$2:$N$282,IF($B$7="All","*",$B$7)))</f>
        <v>25</v>
      </c>
      <c r="U7" s="4">
        <f>IF(AND($AB7=1,Processed_Data!C7="J."),Processed_Data!J7,NA())</f>
        <v>5500</v>
      </c>
      <c r="V7" s="8">
        <f>IF(AND($AB7=1,Processed_Data!C7="J."),Processed_Data!L7/100,NA())</f>
        <v>0</v>
      </c>
      <c r="W7" s="4" t="e">
        <f>IF(AND($AB7=1,Processed_Data!C7="Maria.B"),Processed_Data!J7,NA())</f>
        <v>#N/A</v>
      </c>
      <c r="X7" s="8" t="e">
        <f>IF(AND($AB7=1,Processed_Data!C7="Maria.B"),Processed_Data!L7/100,NA())</f>
        <v>#N/A</v>
      </c>
      <c r="Y7" s="4" t="e">
        <f>IF(AND($AB7=1,Processed_Data!C7="Sana Safinaz"),Processed_Data!J7,NA())</f>
        <v>#N/A</v>
      </c>
      <c r="Z7" s="8" t="e">
        <f>IF(AND($AB7=1,Processed_Data!C7="Sana Safinaz"),Processed_Data!L7/100,NA())</f>
        <v>#N/A</v>
      </c>
      <c r="AB7">
        <f>--AND(OR($B$2="All",Processed_Data!C7=$B$2),OR($B$3="All",Processed_Data!F7=$B$3),OR($B$4="All",Processed_Data!G7=$B$4),OR($B$5="All",Processed_Data!H7=$B$5),OR($B$6="All",Processed_Data!R7=$B$6),OR($B$7="All",Processed_Data!N7=$B$7))</f>
        <v>1</v>
      </c>
      <c r="AC7">
        <f>IF($AB7=1,Processed_Data!J7,"")</f>
        <v>5500</v>
      </c>
      <c r="AD7">
        <f>IF($AB7=1,Processed_Data!L7,0)</f>
        <v>0</v>
      </c>
      <c r="AE7">
        <f>IF($AB7=1,--(Processed_Data!M7="On Sale"),0)</f>
        <v>0</v>
      </c>
      <c r="AF7">
        <f>IF(AND($AB7=1,Processed_Data!C7="J."),Processed_Data!J7,"")</f>
        <v>5500</v>
      </c>
      <c r="AG7" t="str">
        <f>IF(AND($AB7=1,Processed_Data!C7="Maria.B"),Processed_Data!J7,"")</f>
        <v/>
      </c>
      <c r="AH7" t="str">
        <f>IF(AND($AB7=1,Processed_Data!C7="Sana Safinaz"),Processed_Data!J7,"")</f>
        <v/>
      </c>
      <c r="AI7">
        <f>IF(AND($AB7=1,Processed_Data!C7="J."),Processed_Data!L7,0)</f>
        <v>0</v>
      </c>
      <c r="AJ7">
        <f>IF(AND($AB7=1,Processed_Data!C7="Maria.B"),Processed_Data!L7,0)</f>
        <v>0</v>
      </c>
      <c r="AK7">
        <f>IF(AND($AB7=1,Processed_Data!C7="Sana Safinaz"),Processed_Data!L7,0)</f>
        <v>0</v>
      </c>
    </row>
    <row r="8" spans="1:37">
      <c r="D8" t="s">
        <v>49</v>
      </c>
      <c r="E8" s="7">
        <f>IFERROR(SUM(AE2:AE282)/SUM(AB2:AB282),0)</f>
        <v>0.13879003558718861</v>
      </c>
      <c r="U8" s="4">
        <f>IF(AND($AB8=1,Processed_Data!C8="J."),Processed_Data!J8,NA())</f>
        <v>5500</v>
      </c>
      <c r="V8" s="8">
        <f>IF(AND($AB8=1,Processed_Data!C8="J."),Processed_Data!L8/100,NA())</f>
        <v>0</v>
      </c>
      <c r="W8" s="4" t="e">
        <f>IF(AND($AB8=1,Processed_Data!C8="Maria.B"),Processed_Data!J8,NA())</f>
        <v>#N/A</v>
      </c>
      <c r="X8" s="8" t="e">
        <f>IF(AND($AB8=1,Processed_Data!C8="Maria.B"),Processed_Data!L8/100,NA())</f>
        <v>#N/A</v>
      </c>
      <c r="Y8" s="4" t="e">
        <f>IF(AND($AB8=1,Processed_Data!C8="Sana Safinaz"),Processed_Data!J8,NA())</f>
        <v>#N/A</v>
      </c>
      <c r="Z8" s="8" t="e">
        <f>IF(AND($AB8=1,Processed_Data!C8="Sana Safinaz"),Processed_Data!L8/100,NA())</f>
        <v>#N/A</v>
      </c>
      <c r="AB8">
        <f>--AND(OR($B$2="All",Processed_Data!C8=$B$2),OR($B$3="All",Processed_Data!F8=$B$3),OR($B$4="All",Processed_Data!G8=$B$4),OR($B$5="All",Processed_Data!H8=$B$5),OR($B$6="All",Processed_Data!R8=$B$6),OR($B$7="All",Processed_Data!N8=$B$7))</f>
        <v>1</v>
      </c>
      <c r="AC8">
        <f>IF($AB8=1,Processed_Data!J8,"")</f>
        <v>5500</v>
      </c>
      <c r="AD8">
        <f>IF($AB8=1,Processed_Data!L8,0)</f>
        <v>0</v>
      </c>
      <c r="AE8">
        <f>IF($AB8=1,--(Processed_Data!M8="On Sale"),0)</f>
        <v>0</v>
      </c>
      <c r="AF8">
        <f>IF(AND($AB8=1,Processed_Data!C8="J."),Processed_Data!J8,"")</f>
        <v>5500</v>
      </c>
      <c r="AG8" t="str">
        <f>IF(AND($AB8=1,Processed_Data!C8="Maria.B"),Processed_Data!J8,"")</f>
        <v/>
      </c>
      <c r="AH8" t="str">
        <f>IF(AND($AB8=1,Processed_Data!C8="Sana Safinaz"),Processed_Data!J8,"")</f>
        <v/>
      </c>
      <c r="AI8">
        <f>IF(AND($AB8=1,Processed_Data!C8="J."),Processed_Data!L8,0)</f>
        <v>0</v>
      </c>
      <c r="AJ8">
        <f>IF(AND($AB8=1,Processed_Data!C8="Maria.B"),Processed_Data!L8,0)</f>
        <v>0</v>
      </c>
      <c r="AK8">
        <f>IF(AND($AB8=1,Processed_Data!C8="Sana Safinaz"),Processed_Data!L8,0)</f>
        <v>0</v>
      </c>
    </row>
    <row r="9" spans="1:37">
      <c r="D9" t="s">
        <v>66</v>
      </c>
      <c r="E9" s="3">
        <f>IFERROR(MAX(J3:J5),0)</f>
        <v>81.180000000000007</v>
      </c>
      <c r="U9" s="4">
        <f>IF(AND($AB9=1,Processed_Data!C9="J."),Processed_Data!J9,NA())</f>
        <v>5900</v>
      </c>
      <c r="V9" s="8">
        <f>IF(AND($AB9=1,Processed_Data!C9="J."),Processed_Data!L9/100,NA())</f>
        <v>0</v>
      </c>
      <c r="W9" s="4" t="e">
        <f>IF(AND($AB9=1,Processed_Data!C9="Maria.B"),Processed_Data!J9,NA())</f>
        <v>#N/A</v>
      </c>
      <c r="X9" s="8" t="e">
        <f>IF(AND($AB9=1,Processed_Data!C9="Maria.B"),Processed_Data!L9/100,NA())</f>
        <v>#N/A</v>
      </c>
      <c r="Y9" s="4" t="e">
        <f>IF(AND($AB9=1,Processed_Data!C9="Sana Safinaz"),Processed_Data!J9,NA())</f>
        <v>#N/A</v>
      </c>
      <c r="Z9" s="8" t="e">
        <f>IF(AND($AB9=1,Processed_Data!C9="Sana Safinaz"),Processed_Data!L9/100,NA())</f>
        <v>#N/A</v>
      </c>
      <c r="AB9">
        <f>--AND(OR($B$2="All",Processed_Data!C9=$B$2),OR($B$3="All",Processed_Data!F9=$B$3),OR($B$4="All",Processed_Data!G9=$B$4),OR($B$5="All",Processed_Data!H9=$B$5),OR($B$6="All",Processed_Data!R9=$B$6),OR($B$7="All",Processed_Data!N9=$B$7))</f>
        <v>1</v>
      </c>
      <c r="AC9">
        <f>IF($AB9=1,Processed_Data!J9,"")</f>
        <v>5900</v>
      </c>
      <c r="AD9">
        <f>IF($AB9=1,Processed_Data!L9,0)</f>
        <v>0</v>
      </c>
      <c r="AE9">
        <f>IF($AB9=1,--(Processed_Data!M9="On Sale"),0)</f>
        <v>0</v>
      </c>
      <c r="AF9">
        <f>IF(AND($AB9=1,Processed_Data!C9="J."),Processed_Data!J9,"")</f>
        <v>5900</v>
      </c>
      <c r="AG9" t="str">
        <f>IF(AND($AB9=1,Processed_Data!C9="Maria.B"),Processed_Data!J9,"")</f>
        <v/>
      </c>
      <c r="AH9" t="str">
        <f>IF(AND($AB9=1,Processed_Data!C9="Sana Safinaz"),Processed_Data!J9,"")</f>
        <v/>
      </c>
      <c r="AI9">
        <f>IF(AND($AB9=1,Processed_Data!C9="J."),Processed_Data!L9,0)</f>
        <v>0</v>
      </c>
      <c r="AJ9">
        <f>IF(AND($AB9=1,Processed_Data!C9="Maria.B"),Processed_Data!L9,0)</f>
        <v>0</v>
      </c>
      <c r="AK9">
        <f>IF(AND($AB9=1,Processed_Data!C9="Sana Safinaz"),Processed_Data!L9,0)</f>
        <v>0</v>
      </c>
    </row>
    <row r="10" spans="1:37">
      <c r="U10" s="4">
        <f>IF(AND($AB10=1,Processed_Data!C10="J."),Processed_Data!J10,NA())</f>
        <v>5900</v>
      </c>
      <c r="V10" s="8">
        <f>IF(AND($AB10=1,Processed_Data!C10="J."),Processed_Data!L10/100,NA())</f>
        <v>0</v>
      </c>
      <c r="W10" s="4" t="e">
        <f>IF(AND($AB10=1,Processed_Data!C10="Maria.B"),Processed_Data!J10,NA())</f>
        <v>#N/A</v>
      </c>
      <c r="X10" s="8" t="e">
        <f>IF(AND($AB10=1,Processed_Data!C10="Maria.B"),Processed_Data!L10/100,NA())</f>
        <v>#N/A</v>
      </c>
      <c r="Y10" s="4" t="e">
        <f>IF(AND($AB10=1,Processed_Data!C10="Sana Safinaz"),Processed_Data!J10,NA())</f>
        <v>#N/A</v>
      </c>
      <c r="Z10" s="8" t="e">
        <f>IF(AND($AB10=1,Processed_Data!C10="Sana Safinaz"),Processed_Data!L10/100,NA())</f>
        <v>#N/A</v>
      </c>
      <c r="AB10">
        <f>--AND(OR($B$2="All",Processed_Data!C10=$B$2),OR($B$3="All",Processed_Data!F10=$B$3),OR($B$4="All",Processed_Data!G10=$B$4),OR($B$5="All",Processed_Data!H10=$B$5),OR($B$6="All",Processed_Data!R10=$B$6),OR($B$7="All",Processed_Data!N10=$B$7))</f>
        <v>1</v>
      </c>
      <c r="AC10">
        <f>IF($AB10=1,Processed_Data!J10,"")</f>
        <v>5900</v>
      </c>
      <c r="AD10">
        <f>IF($AB10=1,Processed_Data!L10,0)</f>
        <v>0</v>
      </c>
      <c r="AE10">
        <f>IF($AB10=1,--(Processed_Data!M10="On Sale"),0)</f>
        <v>0</v>
      </c>
      <c r="AF10">
        <f>IF(AND($AB10=1,Processed_Data!C10="J."),Processed_Data!J10,"")</f>
        <v>5900</v>
      </c>
      <c r="AG10" t="str">
        <f>IF(AND($AB10=1,Processed_Data!C10="Maria.B"),Processed_Data!J10,"")</f>
        <v/>
      </c>
      <c r="AH10" t="str">
        <f>IF(AND($AB10=1,Processed_Data!C10="Sana Safinaz"),Processed_Data!J10,"")</f>
        <v/>
      </c>
      <c r="AI10">
        <f>IF(AND($AB10=1,Processed_Data!C10="J."),Processed_Data!L10,0)</f>
        <v>0</v>
      </c>
      <c r="AJ10">
        <f>IF(AND($AB10=1,Processed_Data!C10="Maria.B"),Processed_Data!L10,0)</f>
        <v>0</v>
      </c>
      <c r="AK10">
        <f>IF(AND($AB10=1,Processed_Data!C10="Sana Safinaz"),Processed_Data!L10,0)</f>
        <v>0</v>
      </c>
    </row>
    <row r="11" spans="1:37">
      <c r="U11" s="4">
        <f>IF(AND($AB11=1,Processed_Data!C11="J."),Processed_Data!J11,NA())</f>
        <v>5900</v>
      </c>
      <c r="V11" s="8">
        <f>IF(AND($AB11=1,Processed_Data!C11="J."),Processed_Data!L11/100,NA())</f>
        <v>0</v>
      </c>
      <c r="W11" s="4" t="e">
        <f>IF(AND($AB11=1,Processed_Data!C11="Maria.B"),Processed_Data!J11,NA())</f>
        <v>#N/A</v>
      </c>
      <c r="X11" s="8" t="e">
        <f>IF(AND($AB11=1,Processed_Data!C11="Maria.B"),Processed_Data!L11/100,NA())</f>
        <v>#N/A</v>
      </c>
      <c r="Y11" s="4" t="e">
        <f>IF(AND($AB11=1,Processed_Data!C11="Sana Safinaz"),Processed_Data!J11,NA())</f>
        <v>#N/A</v>
      </c>
      <c r="Z11" s="8" t="e">
        <f>IF(AND($AB11=1,Processed_Data!C11="Sana Safinaz"),Processed_Data!L11/100,NA())</f>
        <v>#N/A</v>
      </c>
      <c r="AB11">
        <f>--AND(OR($B$2="All",Processed_Data!C11=$B$2),OR($B$3="All",Processed_Data!F11=$B$3),OR($B$4="All",Processed_Data!G11=$B$4),OR($B$5="All",Processed_Data!H11=$B$5),OR($B$6="All",Processed_Data!R11=$B$6),OR($B$7="All",Processed_Data!N11=$B$7))</f>
        <v>1</v>
      </c>
      <c r="AC11">
        <f>IF($AB11=1,Processed_Data!J11,"")</f>
        <v>5900</v>
      </c>
      <c r="AD11">
        <f>IF($AB11=1,Processed_Data!L11,0)</f>
        <v>0</v>
      </c>
      <c r="AE11">
        <f>IF($AB11=1,--(Processed_Data!M11="On Sale"),0)</f>
        <v>0</v>
      </c>
      <c r="AF11">
        <f>IF(AND($AB11=1,Processed_Data!C11="J."),Processed_Data!J11,"")</f>
        <v>5900</v>
      </c>
      <c r="AG11" t="str">
        <f>IF(AND($AB11=1,Processed_Data!C11="Maria.B"),Processed_Data!J11,"")</f>
        <v/>
      </c>
      <c r="AH11" t="str">
        <f>IF(AND($AB11=1,Processed_Data!C11="Sana Safinaz"),Processed_Data!J11,"")</f>
        <v/>
      </c>
      <c r="AI11">
        <f>IF(AND($AB11=1,Processed_Data!C11="J."),Processed_Data!L11,0)</f>
        <v>0</v>
      </c>
      <c r="AJ11">
        <f>IF(AND($AB11=1,Processed_Data!C11="Maria.B"),Processed_Data!L11,0)</f>
        <v>0</v>
      </c>
      <c r="AK11">
        <f>IF(AND($AB11=1,Processed_Data!C11="Sana Safinaz"),Processed_Data!L11,0)</f>
        <v>0</v>
      </c>
    </row>
    <row r="12" spans="1:37">
      <c r="U12" s="4">
        <f>IF(AND($AB12=1,Processed_Data!C12="J."),Processed_Data!J12,NA())</f>
        <v>4990</v>
      </c>
      <c r="V12" s="8">
        <f>IF(AND($AB12=1,Processed_Data!C12="J."),Processed_Data!L12/100,NA())</f>
        <v>0</v>
      </c>
      <c r="W12" s="4" t="e">
        <f>IF(AND($AB12=1,Processed_Data!C12="Maria.B"),Processed_Data!J12,NA())</f>
        <v>#N/A</v>
      </c>
      <c r="X12" s="8" t="e">
        <f>IF(AND($AB12=1,Processed_Data!C12="Maria.B"),Processed_Data!L12/100,NA())</f>
        <v>#N/A</v>
      </c>
      <c r="Y12" s="4" t="e">
        <f>IF(AND($AB12=1,Processed_Data!C12="Sana Safinaz"),Processed_Data!J12,NA())</f>
        <v>#N/A</v>
      </c>
      <c r="Z12" s="8" t="e">
        <f>IF(AND($AB12=1,Processed_Data!C12="Sana Safinaz"),Processed_Data!L12/100,NA())</f>
        <v>#N/A</v>
      </c>
      <c r="AB12">
        <f>--AND(OR($B$2="All",Processed_Data!C12=$B$2),OR($B$3="All",Processed_Data!F12=$B$3),OR($B$4="All",Processed_Data!G12=$B$4),OR($B$5="All",Processed_Data!H12=$B$5),OR($B$6="All",Processed_Data!R12=$B$6),OR($B$7="All",Processed_Data!N12=$B$7))</f>
        <v>1</v>
      </c>
      <c r="AC12">
        <f>IF($AB12=1,Processed_Data!J12,"")</f>
        <v>4990</v>
      </c>
      <c r="AD12">
        <f>IF($AB12=1,Processed_Data!L12,0)</f>
        <v>0</v>
      </c>
      <c r="AE12">
        <f>IF($AB12=1,--(Processed_Data!M12="On Sale"),0)</f>
        <v>0</v>
      </c>
      <c r="AF12">
        <f>IF(AND($AB12=1,Processed_Data!C12="J."),Processed_Data!J12,"")</f>
        <v>4990</v>
      </c>
      <c r="AG12" t="str">
        <f>IF(AND($AB12=1,Processed_Data!C12="Maria.B"),Processed_Data!J12,"")</f>
        <v/>
      </c>
      <c r="AH12" t="str">
        <f>IF(AND($AB12=1,Processed_Data!C12="Sana Safinaz"),Processed_Data!J12,"")</f>
        <v/>
      </c>
      <c r="AI12">
        <f>IF(AND($AB12=1,Processed_Data!C12="J."),Processed_Data!L12,0)</f>
        <v>0</v>
      </c>
      <c r="AJ12">
        <f>IF(AND($AB12=1,Processed_Data!C12="Maria.B"),Processed_Data!L12,0)</f>
        <v>0</v>
      </c>
      <c r="AK12">
        <f>IF(AND($AB12=1,Processed_Data!C12="Sana Safinaz"),Processed_Data!L12,0)</f>
        <v>0</v>
      </c>
    </row>
    <row r="13" spans="1:37">
      <c r="U13" s="4">
        <f>IF(AND($AB13=1,Processed_Data!C13="J."),Processed_Data!J13,NA())</f>
        <v>4990</v>
      </c>
      <c r="V13" s="8">
        <f>IF(AND($AB13=1,Processed_Data!C13="J."),Processed_Data!L13/100,NA())</f>
        <v>0</v>
      </c>
      <c r="W13" s="4" t="e">
        <f>IF(AND($AB13=1,Processed_Data!C13="Maria.B"),Processed_Data!J13,NA())</f>
        <v>#N/A</v>
      </c>
      <c r="X13" s="8" t="e">
        <f>IF(AND($AB13=1,Processed_Data!C13="Maria.B"),Processed_Data!L13/100,NA())</f>
        <v>#N/A</v>
      </c>
      <c r="Y13" s="4" t="e">
        <f>IF(AND($AB13=1,Processed_Data!C13="Sana Safinaz"),Processed_Data!J13,NA())</f>
        <v>#N/A</v>
      </c>
      <c r="Z13" s="8" t="e">
        <f>IF(AND($AB13=1,Processed_Data!C13="Sana Safinaz"),Processed_Data!L13/100,NA())</f>
        <v>#N/A</v>
      </c>
      <c r="AB13">
        <f>--AND(OR($B$2="All",Processed_Data!C13=$B$2),OR($B$3="All",Processed_Data!F13=$B$3),OR($B$4="All",Processed_Data!G13=$B$4),OR($B$5="All",Processed_Data!H13=$B$5),OR($B$6="All",Processed_Data!R13=$B$6),OR($B$7="All",Processed_Data!N13=$B$7))</f>
        <v>1</v>
      </c>
      <c r="AC13">
        <f>IF($AB13=1,Processed_Data!J13,"")</f>
        <v>4990</v>
      </c>
      <c r="AD13">
        <f>IF($AB13=1,Processed_Data!L13,0)</f>
        <v>0</v>
      </c>
      <c r="AE13">
        <f>IF($AB13=1,--(Processed_Data!M13="On Sale"),0)</f>
        <v>0</v>
      </c>
      <c r="AF13">
        <f>IF(AND($AB13=1,Processed_Data!C13="J."),Processed_Data!J13,"")</f>
        <v>4990</v>
      </c>
      <c r="AG13" t="str">
        <f>IF(AND($AB13=1,Processed_Data!C13="Maria.B"),Processed_Data!J13,"")</f>
        <v/>
      </c>
      <c r="AH13" t="str">
        <f>IF(AND($AB13=1,Processed_Data!C13="Sana Safinaz"),Processed_Data!J13,"")</f>
        <v/>
      </c>
      <c r="AI13">
        <f>IF(AND($AB13=1,Processed_Data!C13="J."),Processed_Data!L13,0)</f>
        <v>0</v>
      </c>
      <c r="AJ13">
        <f>IF(AND($AB13=1,Processed_Data!C13="Maria.B"),Processed_Data!L13,0)</f>
        <v>0</v>
      </c>
      <c r="AK13">
        <f>IF(AND($AB13=1,Processed_Data!C13="Sana Safinaz"),Processed_Data!L13,0)</f>
        <v>0</v>
      </c>
    </row>
    <row r="14" spans="1:37">
      <c r="U14" s="4">
        <f>IF(AND($AB14=1,Processed_Data!C14="J."),Processed_Data!J14,NA())</f>
        <v>4990</v>
      </c>
      <c r="V14" s="8">
        <f>IF(AND($AB14=1,Processed_Data!C14="J."),Processed_Data!L14/100,NA())</f>
        <v>0</v>
      </c>
      <c r="W14" s="4" t="e">
        <f>IF(AND($AB14=1,Processed_Data!C14="Maria.B"),Processed_Data!J14,NA())</f>
        <v>#N/A</v>
      </c>
      <c r="X14" s="8" t="e">
        <f>IF(AND($AB14=1,Processed_Data!C14="Maria.B"),Processed_Data!L14/100,NA())</f>
        <v>#N/A</v>
      </c>
      <c r="Y14" s="4" t="e">
        <f>IF(AND($AB14=1,Processed_Data!C14="Sana Safinaz"),Processed_Data!J14,NA())</f>
        <v>#N/A</v>
      </c>
      <c r="Z14" s="8" t="e">
        <f>IF(AND($AB14=1,Processed_Data!C14="Sana Safinaz"),Processed_Data!L14/100,NA())</f>
        <v>#N/A</v>
      </c>
      <c r="AB14">
        <f>--AND(OR($B$2="All",Processed_Data!C14=$B$2),OR($B$3="All",Processed_Data!F14=$B$3),OR($B$4="All",Processed_Data!G14=$B$4),OR($B$5="All",Processed_Data!H14=$B$5),OR($B$6="All",Processed_Data!R14=$B$6),OR($B$7="All",Processed_Data!N14=$B$7))</f>
        <v>1</v>
      </c>
      <c r="AC14">
        <f>IF($AB14=1,Processed_Data!J14,"")</f>
        <v>4990</v>
      </c>
      <c r="AD14">
        <f>IF($AB14=1,Processed_Data!L14,0)</f>
        <v>0</v>
      </c>
      <c r="AE14">
        <f>IF($AB14=1,--(Processed_Data!M14="On Sale"),0)</f>
        <v>0</v>
      </c>
      <c r="AF14">
        <f>IF(AND($AB14=1,Processed_Data!C14="J."),Processed_Data!J14,"")</f>
        <v>4990</v>
      </c>
      <c r="AG14" t="str">
        <f>IF(AND($AB14=1,Processed_Data!C14="Maria.B"),Processed_Data!J14,"")</f>
        <v/>
      </c>
      <c r="AH14" t="str">
        <f>IF(AND($AB14=1,Processed_Data!C14="Sana Safinaz"),Processed_Data!J14,"")</f>
        <v/>
      </c>
      <c r="AI14">
        <f>IF(AND($AB14=1,Processed_Data!C14="J."),Processed_Data!L14,0)</f>
        <v>0</v>
      </c>
      <c r="AJ14">
        <f>IF(AND($AB14=1,Processed_Data!C14="Maria.B"),Processed_Data!L14,0)</f>
        <v>0</v>
      </c>
      <c r="AK14">
        <f>IF(AND($AB14=1,Processed_Data!C14="Sana Safinaz"),Processed_Data!L14,0)</f>
        <v>0</v>
      </c>
    </row>
    <row r="15" spans="1:37">
      <c r="U15" s="4">
        <f>IF(AND($AB15=1,Processed_Data!C15="J."),Processed_Data!J15,NA())</f>
        <v>4990</v>
      </c>
      <c r="V15" s="8">
        <f>IF(AND($AB15=1,Processed_Data!C15="J."),Processed_Data!L15/100,NA())</f>
        <v>0</v>
      </c>
      <c r="W15" s="4" t="e">
        <f>IF(AND($AB15=1,Processed_Data!C15="Maria.B"),Processed_Data!J15,NA())</f>
        <v>#N/A</v>
      </c>
      <c r="X15" s="8" t="e">
        <f>IF(AND($AB15=1,Processed_Data!C15="Maria.B"),Processed_Data!L15/100,NA())</f>
        <v>#N/A</v>
      </c>
      <c r="Y15" s="4" t="e">
        <f>IF(AND($AB15=1,Processed_Data!C15="Sana Safinaz"),Processed_Data!J15,NA())</f>
        <v>#N/A</v>
      </c>
      <c r="Z15" s="8" t="e">
        <f>IF(AND($AB15=1,Processed_Data!C15="Sana Safinaz"),Processed_Data!L15/100,NA())</f>
        <v>#N/A</v>
      </c>
      <c r="AB15">
        <f>--AND(OR($B$2="All",Processed_Data!C15=$B$2),OR($B$3="All",Processed_Data!F15=$B$3),OR($B$4="All",Processed_Data!G15=$B$4),OR($B$5="All",Processed_Data!H15=$B$5),OR($B$6="All",Processed_Data!R15=$B$6),OR($B$7="All",Processed_Data!N15=$B$7))</f>
        <v>1</v>
      </c>
      <c r="AC15">
        <f>IF($AB15=1,Processed_Data!J15,"")</f>
        <v>4990</v>
      </c>
      <c r="AD15">
        <f>IF($AB15=1,Processed_Data!L15,0)</f>
        <v>0</v>
      </c>
      <c r="AE15">
        <f>IF($AB15=1,--(Processed_Data!M15="On Sale"),0)</f>
        <v>0</v>
      </c>
      <c r="AF15">
        <f>IF(AND($AB15=1,Processed_Data!C15="J."),Processed_Data!J15,"")</f>
        <v>4990</v>
      </c>
      <c r="AG15" t="str">
        <f>IF(AND($AB15=1,Processed_Data!C15="Maria.B"),Processed_Data!J15,"")</f>
        <v/>
      </c>
      <c r="AH15" t="str">
        <f>IF(AND($AB15=1,Processed_Data!C15="Sana Safinaz"),Processed_Data!J15,"")</f>
        <v/>
      </c>
      <c r="AI15">
        <f>IF(AND($AB15=1,Processed_Data!C15="J."),Processed_Data!L15,0)</f>
        <v>0</v>
      </c>
      <c r="AJ15">
        <f>IF(AND($AB15=1,Processed_Data!C15="Maria.B"),Processed_Data!L15,0)</f>
        <v>0</v>
      </c>
      <c r="AK15">
        <f>IF(AND($AB15=1,Processed_Data!C15="Sana Safinaz"),Processed_Data!L15,0)</f>
        <v>0</v>
      </c>
    </row>
    <row r="16" spans="1:37">
      <c r="U16" s="4">
        <f>IF(AND($AB16=1,Processed_Data!C16="J."),Processed_Data!J16,NA())</f>
        <v>6990</v>
      </c>
      <c r="V16" s="8">
        <f>IF(AND($AB16=1,Processed_Data!C16="J."),Processed_Data!L16/100,NA())</f>
        <v>0</v>
      </c>
      <c r="W16" s="4" t="e">
        <f>IF(AND($AB16=1,Processed_Data!C16="Maria.B"),Processed_Data!J16,NA())</f>
        <v>#N/A</v>
      </c>
      <c r="X16" s="8" t="e">
        <f>IF(AND($AB16=1,Processed_Data!C16="Maria.B"),Processed_Data!L16/100,NA())</f>
        <v>#N/A</v>
      </c>
      <c r="Y16" s="4" t="e">
        <f>IF(AND($AB16=1,Processed_Data!C16="Sana Safinaz"),Processed_Data!J16,NA())</f>
        <v>#N/A</v>
      </c>
      <c r="Z16" s="8" t="e">
        <f>IF(AND($AB16=1,Processed_Data!C16="Sana Safinaz"),Processed_Data!L16/100,NA())</f>
        <v>#N/A</v>
      </c>
      <c r="AB16">
        <f>--AND(OR($B$2="All",Processed_Data!C16=$B$2),OR($B$3="All",Processed_Data!F16=$B$3),OR($B$4="All",Processed_Data!G16=$B$4),OR($B$5="All",Processed_Data!H16=$B$5),OR($B$6="All",Processed_Data!R16=$B$6),OR($B$7="All",Processed_Data!N16=$B$7))</f>
        <v>1</v>
      </c>
      <c r="AC16">
        <f>IF($AB16=1,Processed_Data!J16,"")</f>
        <v>6990</v>
      </c>
      <c r="AD16">
        <f>IF($AB16=1,Processed_Data!L16,0)</f>
        <v>0</v>
      </c>
      <c r="AE16">
        <f>IF($AB16=1,--(Processed_Data!M16="On Sale"),0)</f>
        <v>0</v>
      </c>
      <c r="AF16">
        <f>IF(AND($AB16=1,Processed_Data!C16="J."),Processed_Data!J16,"")</f>
        <v>6990</v>
      </c>
      <c r="AG16" t="str">
        <f>IF(AND($AB16=1,Processed_Data!C16="Maria.B"),Processed_Data!J16,"")</f>
        <v/>
      </c>
      <c r="AH16" t="str">
        <f>IF(AND($AB16=1,Processed_Data!C16="Sana Safinaz"),Processed_Data!J16,"")</f>
        <v/>
      </c>
      <c r="AI16">
        <f>IF(AND($AB16=1,Processed_Data!C16="J."),Processed_Data!L16,0)</f>
        <v>0</v>
      </c>
      <c r="AJ16">
        <f>IF(AND($AB16=1,Processed_Data!C16="Maria.B"),Processed_Data!L16,0)</f>
        <v>0</v>
      </c>
      <c r="AK16">
        <f>IF(AND($AB16=1,Processed_Data!C16="Sana Safinaz"),Processed_Data!L16,0)</f>
        <v>0</v>
      </c>
    </row>
    <row r="17" spans="21:37">
      <c r="U17" s="4">
        <f>IF(AND($AB17=1,Processed_Data!C17="J."),Processed_Data!J17,NA())</f>
        <v>6990</v>
      </c>
      <c r="V17" s="8">
        <f>IF(AND($AB17=1,Processed_Data!C17="J."),Processed_Data!L17/100,NA())</f>
        <v>0</v>
      </c>
      <c r="W17" s="4" t="e">
        <f>IF(AND($AB17=1,Processed_Data!C17="Maria.B"),Processed_Data!J17,NA())</f>
        <v>#N/A</v>
      </c>
      <c r="X17" s="8" t="e">
        <f>IF(AND($AB17=1,Processed_Data!C17="Maria.B"),Processed_Data!L17/100,NA())</f>
        <v>#N/A</v>
      </c>
      <c r="Y17" s="4" t="e">
        <f>IF(AND($AB17=1,Processed_Data!C17="Sana Safinaz"),Processed_Data!J17,NA())</f>
        <v>#N/A</v>
      </c>
      <c r="Z17" s="8" t="e">
        <f>IF(AND($AB17=1,Processed_Data!C17="Sana Safinaz"),Processed_Data!L17/100,NA())</f>
        <v>#N/A</v>
      </c>
      <c r="AB17">
        <f>--AND(OR($B$2="All",Processed_Data!C17=$B$2),OR($B$3="All",Processed_Data!F17=$B$3),OR($B$4="All",Processed_Data!G17=$B$4),OR($B$5="All",Processed_Data!H17=$B$5),OR($B$6="All",Processed_Data!R17=$B$6),OR($B$7="All",Processed_Data!N17=$B$7))</f>
        <v>1</v>
      </c>
      <c r="AC17">
        <f>IF($AB17=1,Processed_Data!J17,"")</f>
        <v>6990</v>
      </c>
      <c r="AD17">
        <f>IF($AB17=1,Processed_Data!L17,0)</f>
        <v>0</v>
      </c>
      <c r="AE17">
        <f>IF($AB17=1,--(Processed_Data!M17="On Sale"),0)</f>
        <v>0</v>
      </c>
      <c r="AF17">
        <f>IF(AND($AB17=1,Processed_Data!C17="J."),Processed_Data!J17,"")</f>
        <v>6990</v>
      </c>
      <c r="AG17" t="str">
        <f>IF(AND($AB17=1,Processed_Data!C17="Maria.B"),Processed_Data!J17,"")</f>
        <v/>
      </c>
      <c r="AH17" t="str">
        <f>IF(AND($AB17=1,Processed_Data!C17="Sana Safinaz"),Processed_Data!J17,"")</f>
        <v/>
      </c>
      <c r="AI17">
        <f>IF(AND($AB17=1,Processed_Data!C17="J."),Processed_Data!L17,0)</f>
        <v>0</v>
      </c>
      <c r="AJ17">
        <f>IF(AND($AB17=1,Processed_Data!C17="Maria.B"),Processed_Data!L17,0)</f>
        <v>0</v>
      </c>
      <c r="AK17">
        <f>IF(AND($AB17=1,Processed_Data!C17="Sana Safinaz"),Processed_Data!L17,0)</f>
        <v>0</v>
      </c>
    </row>
    <row r="18" spans="21:37">
      <c r="U18" s="4">
        <f>IF(AND($AB18=1,Processed_Data!C18="J."),Processed_Data!J18,NA())</f>
        <v>6990</v>
      </c>
      <c r="V18" s="8">
        <f>IF(AND($AB18=1,Processed_Data!C18="J."),Processed_Data!L18/100,NA())</f>
        <v>0</v>
      </c>
      <c r="W18" s="4" t="e">
        <f>IF(AND($AB18=1,Processed_Data!C18="Maria.B"),Processed_Data!J18,NA())</f>
        <v>#N/A</v>
      </c>
      <c r="X18" s="8" t="e">
        <f>IF(AND($AB18=1,Processed_Data!C18="Maria.B"),Processed_Data!L18/100,NA())</f>
        <v>#N/A</v>
      </c>
      <c r="Y18" s="4" t="e">
        <f>IF(AND($AB18=1,Processed_Data!C18="Sana Safinaz"),Processed_Data!J18,NA())</f>
        <v>#N/A</v>
      </c>
      <c r="Z18" s="8" t="e">
        <f>IF(AND($AB18=1,Processed_Data!C18="Sana Safinaz"),Processed_Data!L18/100,NA())</f>
        <v>#N/A</v>
      </c>
      <c r="AB18">
        <f>--AND(OR($B$2="All",Processed_Data!C18=$B$2),OR($B$3="All",Processed_Data!F18=$B$3),OR($B$4="All",Processed_Data!G18=$B$4),OR($B$5="All",Processed_Data!H18=$B$5),OR($B$6="All",Processed_Data!R18=$B$6),OR($B$7="All",Processed_Data!N18=$B$7))</f>
        <v>1</v>
      </c>
      <c r="AC18">
        <f>IF($AB18=1,Processed_Data!J18,"")</f>
        <v>6990</v>
      </c>
      <c r="AD18">
        <f>IF($AB18=1,Processed_Data!L18,0)</f>
        <v>0</v>
      </c>
      <c r="AE18">
        <f>IF($AB18=1,--(Processed_Data!M18="On Sale"),0)</f>
        <v>0</v>
      </c>
      <c r="AF18">
        <f>IF(AND($AB18=1,Processed_Data!C18="J."),Processed_Data!J18,"")</f>
        <v>6990</v>
      </c>
      <c r="AG18" t="str">
        <f>IF(AND($AB18=1,Processed_Data!C18="Maria.B"),Processed_Data!J18,"")</f>
        <v/>
      </c>
      <c r="AH18" t="str">
        <f>IF(AND($AB18=1,Processed_Data!C18="Sana Safinaz"),Processed_Data!J18,"")</f>
        <v/>
      </c>
      <c r="AI18">
        <f>IF(AND($AB18=1,Processed_Data!C18="J."),Processed_Data!L18,0)</f>
        <v>0</v>
      </c>
      <c r="AJ18">
        <f>IF(AND($AB18=1,Processed_Data!C18="Maria.B"),Processed_Data!L18,0)</f>
        <v>0</v>
      </c>
      <c r="AK18">
        <f>IF(AND($AB18=1,Processed_Data!C18="Sana Safinaz"),Processed_Data!L18,0)</f>
        <v>0</v>
      </c>
    </row>
    <row r="19" spans="21:37">
      <c r="U19" s="4">
        <f>IF(AND($AB19=1,Processed_Data!C19="J."),Processed_Data!J19,NA())</f>
        <v>6990</v>
      </c>
      <c r="V19" s="8">
        <f>IF(AND($AB19=1,Processed_Data!C19="J."),Processed_Data!L19/100,NA())</f>
        <v>0</v>
      </c>
      <c r="W19" s="4" t="e">
        <f>IF(AND($AB19=1,Processed_Data!C19="Maria.B"),Processed_Data!J19,NA())</f>
        <v>#N/A</v>
      </c>
      <c r="X19" s="8" t="e">
        <f>IF(AND($AB19=1,Processed_Data!C19="Maria.B"),Processed_Data!L19/100,NA())</f>
        <v>#N/A</v>
      </c>
      <c r="Y19" s="4" t="e">
        <f>IF(AND($AB19=1,Processed_Data!C19="Sana Safinaz"),Processed_Data!J19,NA())</f>
        <v>#N/A</v>
      </c>
      <c r="Z19" s="8" t="e">
        <f>IF(AND($AB19=1,Processed_Data!C19="Sana Safinaz"),Processed_Data!L19/100,NA())</f>
        <v>#N/A</v>
      </c>
      <c r="AB19">
        <f>--AND(OR($B$2="All",Processed_Data!C19=$B$2),OR($B$3="All",Processed_Data!F19=$B$3),OR($B$4="All",Processed_Data!G19=$B$4),OR($B$5="All",Processed_Data!H19=$B$5),OR($B$6="All",Processed_Data!R19=$B$6),OR($B$7="All",Processed_Data!N19=$B$7))</f>
        <v>1</v>
      </c>
      <c r="AC19">
        <f>IF($AB19=1,Processed_Data!J19,"")</f>
        <v>6990</v>
      </c>
      <c r="AD19">
        <f>IF($AB19=1,Processed_Data!L19,0)</f>
        <v>0</v>
      </c>
      <c r="AE19">
        <f>IF($AB19=1,--(Processed_Data!M19="On Sale"),0)</f>
        <v>0</v>
      </c>
      <c r="AF19">
        <f>IF(AND($AB19=1,Processed_Data!C19="J."),Processed_Data!J19,"")</f>
        <v>6990</v>
      </c>
      <c r="AG19" t="str">
        <f>IF(AND($AB19=1,Processed_Data!C19="Maria.B"),Processed_Data!J19,"")</f>
        <v/>
      </c>
      <c r="AH19" t="str">
        <f>IF(AND($AB19=1,Processed_Data!C19="Sana Safinaz"),Processed_Data!J19,"")</f>
        <v/>
      </c>
      <c r="AI19">
        <f>IF(AND($AB19=1,Processed_Data!C19="J."),Processed_Data!L19,0)</f>
        <v>0</v>
      </c>
      <c r="AJ19">
        <f>IF(AND($AB19=1,Processed_Data!C19="Maria.B"),Processed_Data!L19,0)</f>
        <v>0</v>
      </c>
      <c r="AK19">
        <f>IF(AND($AB19=1,Processed_Data!C19="Sana Safinaz"),Processed_Data!L19,0)</f>
        <v>0</v>
      </c>
    </row>
    <row r="20" spans="21:37">
      <c r="U20" s="4">
        <f>IF(AND($AB20=1,Processed_Data!C20="J."),Processed_Data!J20,NA())</f>
        <v>5990</v>
      </c>
      <c r="V20" s="8">
        <f>IF(AND($AB20=1,Processed_Data!C20="J."),Processed_Data!L20/100,NA())</f>
        <v>0</v>
      </c>
      <c r="W20" s="4" t="e">
        <f>IF(AND($AB20=1,Processed_Data!C20="Maria.B"),Processed_Data!J20,NA())</f>
        <v>#N/A</v>
      </c>
      <c r="X20" s="8" t="e">
        <f>IF(AND($AB20=1,Processed_Data!C20="Maria.B"),Processed_Data!L20/100,NA())</f>
        <v>#N/A</v>
      </c>
      <c r="Y20" s="4" t="e">
        <f>IF(AND($AB20=1,Processed_Data!C20="Sana Safinaz"),Processed_Data!J20,NA())</f>
        <v>#N/A</v>
      </c>
      <c r="Z20" s="8" t="e">
        <f>IF(AND($AB20=1,Processed_Data!C20="Sana Safinaz"),Processed_Data!L20/100,NA())</f>
        <v>#N/A</v>
      </c>
      <c r="AB20">
        <f>--AND(OR($B$2="All",Processed_Data!C20=$B$2),OR($B$3="All",Processed_Data!F20=$B$3),OR($B$4="All",Processed_Data!G20=$B$4),OR($B$5="All",Processed_Data!H20=$B$5),OR($B$6="All",Processed_Data!R20=$B$6),OR($B$7="All",Processed_Data!N20=$B$7))</f>
        <v>1</v>
      </c>
      <c r="AC20">
        <f>IF($AB20=1,Processed_Data!J20,"")</f>
        <v>5990</v>
      </c>
      <c r="AD20">
        <f>IF($AB20=1,Processed_Data!L20,0)</f>
        <v>0</v>
      </c>
      <c r="AE20">
        <f>IF($AB20=1,--(Processed_Data!M20="On Sale"),0)</f>
        <v>0</v>
      </c>
      <c r="AF20">
        <f>IF(AND($AB20=1,Processed_Data!C20="J."),Processed_Data!J20,"")</f>
        <v>5990</v>
      </c>
      <c r="AG20" t="str">
        <f>IF(AND($AB20=1,Processed_Data!C20="Maria.B"),Processed_Data!J20,"")</f>
        <v/>
      </c>
      <c r="AH20" t="str">
        <f>IF(AND($AB20=1,Processed_Data!C20="Sana Safinaz"),Processed_Data!J20,"")</f>
        <v/>
      </c>
      <c r="AI20">
        <f>IF(AND($AB20=1,Processed_Data!C20="J."),Processed_Data!L20,0)</f>
        <v>0</v>
      </c>
      <c r="AJ20">
        <f>IF(AND($AB20=1,Processed_Data!C20="Maria.B"),Processed_Data!L20,0)</f>
        <v>0</v>
      </c>
      <c r="AK20">
        <f>IF(AND($AB20=1,Processed_Data!C20="Sana Safinaz"),Processed_Data!L20,0)</f>
        <v>0</v>
      </c>
    </row>
    <row r="21" spans="21:37">
      <c r="U21" s="4">
        <f>IF(AND($AB21=1,Processed_Data!C21="J."),Processed_Data!J21,NA())</f>
        <v>5990</v>
      </c>
      <c r="V21" s="8">
        <f>IF(AND($AB21=1,Processed_Data!C21="J."),Processed_Data!L21/100,NA())</f>
        <v>0</v>
      </c>
      <c r="W21" s="4" t="e">
        <f>IF(AND($AB21=1,Processed_Data!C21="Maria.B"),Processed_Data!J21,NA())</f>
        <v>#N/A</v>
      </c>
      <c r="X21" s="8" t="e">
        <f>IF(AND($AB21=1,Processed_Data!C21="Maria.B"),Processed_Data!L21/100,NA())</f>
        <v>#N/A</v>
      </c>
      <c r="Y21" s="4" t="e">
        <f>IF(AND($AB21=1,Processed_Data!C21="Sana Safinaz"),Processed_Data!J21,NA())</f>
        <v>#N/A</v>
      </c>
      <c r="Z21" s="8" t="e">
        <f>IF(AND($AB21=1,Processed_Data!C21="Sana Safinaz"),Processed_Data!L21/100,NA())</f>
        <v>#N/A</v>
      </c>
      <c r="AB21">
        <f>--AND(OR($B$2="All",Processed_Data!C21=$B$2),OR($B$3="All",Processed_Data!F21=$B$3),OR($B$4="All",Processed_Data!G21=$B$4),OR($B$5="All",Processed_Data!H21=$B$5),OR($B$6="All",Processed_Data!R21=$B$6),OR($B$7="All",Processed_Data!N21=$B$7))</f>
        <v>1</v>
      </c>
      <c r="AC21">
        <f>IF($AB21=1,Processed_Data!J21,"")</f>
        <v>5990</v>
      </c>
      <c r="AD21">
        <f>IF($AB21=1,Processed_Data!L21,0)</f>
        <v>0</v>
      </c>
      <c r="AE21">
        <f>IF($AB21=1,--(Processed_Data!M21="On Sale"),0)</f>
        <v>0</v>
      </c>
      <c r="AF21">
        <f>IF(AND($AB21=1,Processed_Data!C21="J."),Processed_Data!J21,"")</f>
        <v>5990</v>
      </c>
      <c r="AG21" t="str">
        <f>IF(AND($AB21=1,Processed_Data!C21="Maria.B"),Processed_Data!J21,"")</f>
        <v/>
      </c>
      <c r="AH21" t="str">
        <f>IF(AND($AB21=1,Processed_Data!C21="Sana Safinaz"),Processed_Data!J21,"")</f>
        <v/>
      </c>
      <c r="AI21">
        <f>IF(AND($AB21=1,Processed_Data!C21="J."),Processed_Data!L21,0)</f>
        <v>0</v>
      </c>
      <c r="AJ21">
        <f>IF(AND($AB21=1,Processed_Data!C21="Maria.B"),Processed_Data!L21,0)</f>
        <v>0</v>
      </c>
      <c r="AK21">
        <f>IF(AND($AB21=1,Processed_Data!C21="Sana Safinaz"),Processed_Data!L21,0)</f>
        <v>0</v>
      </c>
    </row>
    <row r="22" spans="21:37">
      <c r="U22" s="4">
        <f>IF(AND($AB22=1,Processed_Data!C22="J."),Processed_Data!J22,NA())</f>
        <v>5990</v>
      </c>
      <c r="V22" s="8">
        <f>IF(AND($AB22=1,Processed_Data!C22="J."),Processed_Data!L22/100,NA())</f>
        <v>0</v>
      </c>
      <c r="W22" s="4" t="e">
        <f>IF(AND($AB22=1,Processed_Data!C22="Maria.B"),Processed_Data!J22,NA())</f>
        <v>#N/A</v>
      </c>
      <c r="X22" s="8" t="e">
        <f>IF(AND($AB22=1,Processed_Data!C22="Maria.B"),Processed_Data!L22/100,NA())</f>
        <v>#N/A</v>
      </c>
      <c r="Y22" s="4" t="e">
        <f>IF(AND($AB22=1,Processed_Data!C22="Sana Safinaz"),Processed_Data!J22,NA())</f>
        <v>#N/A</v>
      </c>
      <c r="Z22" s="8" t="e">
        <f>IF(AND($AB22=1,Processed_Data!C22="Sana Safinaz"),Processed_Data!L22/100,NA())</f>
        <v>#N/A</v>
      </c>
      <c r="AB22">
        <f>--AND(OR($B$2="All",Processed_Data!C22=$B$2),OR($B$3="All",Processed_Data!F22=$B$3),OR($B$4="All",Processed_Data!G22=$B$4),OR($B$5="All",Processed_Data!H22=$B$5),OR($B$6="All",Processed_Data!R22=$B$6),OR($B$7="All",Processed_Data!N22=$B$7))</f>
        <v>1</v>
      </c>
      <c r="AC22">
        <f>IF($AB22=1,Processed_Data!J22,"")</f>
        <v>5990</v>
      </c>
      <c r="AD22">
        <f>IF($AB22=1,Processed_Data!L22,0)</f>
        <v>0</v>
      </c>
      <c r="AE22">
        <f>IF($AB22=1,--(Processed_Data!M22="On Sale"),0)</f>
        <v>0</v>
      </c>
      <c r="AF22">
        <f>IF(AND($AB22=1,Processed_Data!C22="J."),Processed_Data!J22,"")</f>
        <v>5990</v>
      </c>
      <c r="AG22" t="str">
        <f>IF(AND($AB22=1,Processed_Data!C22="Maria.B"),Processed_Data!J22,"")</f>
        <v/>
      </c>
      <c r="AH22" t="str">
        <f>IF(AND($AB22=1,Processed_Data!C22="Sana Safinaz"),Processed_Data!J22,"")</f>
        <v/>
      </c>
      <c r="AI22">
        <f>IF(AND($AB22=1,Processed_Data!C22="J."),Processed_Data!L22,0)</f>
        <v>0</v>
      </c>
      <c r="AJ22">
        <f>IF(AND($AB22=1,Processed_Data!C22="Maria.B"),Processed_Data!L22,0)</f>
        <v>0</v>
      </c>
      <c r="AK22">
        <f>IF(AND($AB22=1,Processed_Data!C22="Sana Safinaz"),Processed_Data!L22,0)</f>
        <v>0</v>
      </c>
    </row>
    <row r="23" spans="21:37">
      <c r="U23" s="4">
        <f>IF(AND($AB23=1,Processed_Data!C23="J."),Processed_Data!J23,NA())</f>
        <v>5990</v>
      </c>
      <c r="V23" s="8">
        <f>IF(AND($AB23=1,Processed_Data!C23="J."),Processed_Data!L23/100,NA())</f>
        <v>0</v>
      </c>
      <c r="W23" s="4" t="e">
        <f>IF(AND($AB23=1,Processed_Data!C23="Maria.B"),Processed_Data!J23,NA())</f>
        <v>#N/A</v>
      </c>
      <c r="X23" s="8" t="e">
        <f>IF(AND($AB23=1,Processed_Data!C23="Maria.B"),Processed_Data!L23/100,NA())</f>
        <v>#N/A</v>
      </c>
      <c r="Y23" s="4" t="e">
        <f>IF(AND($AB23=1,Processed_Data!C23="Sana Safinaz"),Processed_Data!J23,NA())</f>
        <v>#N/A</v>
      </c>
      <c r="Z23" s="8" t="e">
        <f>IF(AND($AB23=1,Processed_Data!C23="Sana Safinaz"),Processed_Data!L23/100,NA())</f>
        <v>#N/A</v>
      </c>
      <c r="AB23">
        <f>--AND(OR($B$2="All",Processed_Data!C23=$B$2),OR($B$3="All",Processed_Data!F23=$B$3),OR($B$4="All",Processed_Data!G23=$B$4),OR($B$5="All",Processed_Data!H23=$B$5),OR($B$6="All",Processed_Data!R23=$B$6),OR($B$7="All",Processed_Data!N23=$B$7))</f>
        <v>1</v>
      </c>
      <c r="AC23">
        <f>IF($AB23=1,Processed_Data!J23,"")</f>
        <v>5990</v>
      </c>
      <c r="AD23">
        <f>IF($AB23=1,Processed_Data!L23,0)</f>
        <v>0</v>
      </c>
      <c r="AE23">
        <f>IF($AB23=1,--(Processed_Data!M23="On Sale"),0)</f>
        <v>0</v>
      </c>
      <c r="AF23">
        <f>IF(AND($AB23=1,Processed_Data!C23="J."),Processed_Data!J23,"")</f>
        <v>5990</v>
      </c>
      <c r="AG23" t="str">
        <f>IF(AND($AB23=1,Processed_Data!C23="Maria.B"),Processed_Data!J23,"")</f>
        <v/>
      </c>
      <c r="AH23" t="str">
        <f>IF(AND($AB23=1,Processed_Data!C23="Sana Safinaz"),Processed_Data!J23,"")</f>
        <v/>
      </c>
      <c r="AI23">
        <f>IF(AND($AB23=1,Processed_Data!C23="J."),Processed_Data!L23,0)</f>
        <v>0</v>
      </c>
      <c r="AJ23">
        <f>IF(AND($AB23=1,Processed_Data!C23="Maria.B"),Processed_Data!L23,0)</f>
        <v>0</v>
      </c>
      <c r="AK23">
        <f>IF(AND($AB23=1,Processed_Data!C23="Sana Safinaz"),Processed_Data!L23,0)</f>
        <v>0</v>
      </c>
    </row>
    <row r="24" spans="21:37">
      <c r="U24" s="4">
        <f>IF(AND($AB24=1,Processed_Data!C24="J."),Processed_Data!J24,NA())</f>
        <v>7490</v>
      </c>
      <c r="V24" s="8">
        <f>IF(AND($AB24=1,Processed_Data!C24="J."),Processed_Data!L24/100,NA())</f>
        <v>0</v>
      </c>
      <c r="W24" s="4" t="e">
        <f>IF(AND($AB24=1,Processed_Data!C24="Maria.B"),Processed_Data!J24,NA())</f>
        <v>#N/A</v>
      </c>
      <c r="X24" s="8" t="e">
        <f>IF(AND($AB24=1,Processed_Data!C24="Maria.B"),Processed_Data!L24/100,NA())</f>
        <v>#N/A</v>
      </c>
      <c r="Y24" s="4" t="e">
        <f>IF(AND($AB24=1,Processed_Data!C24="Sana Safinaz"),Processed_Data!J24,NA())</f>
        <v>#N/A</v>
      </c>
      <c r="Z24" s="8" t="e">
        <f>IF(AND($AB24=1,Processed_Data!C24="Sana Safinaz"),Processed_Data!L24/100,NA())</f>
        <v>#N/A</v>
      </c>
      <c r="AB24">
        <f>--AND(OR($B$2="All",Processed_Data!C24=$B$2),OR($B$3="All",Processed_Data!F24=$B$3),OR($B$4="All",Processed_Data!G24=$B$4),OR($B$5="All",Processed_Data!H24=$B$5),OR($B$6="All",Processed_Data!R24=$B$6),OR($B$7="All",Processed_Data!N24=$B$7))</f>
        <v>1</v>
      </c>
      <c r="AC24">
        <f>IF($AB24=1,Processed_Data!J24,"")</f>
        <v>7490</v>
      </c>
      <c r="AD24">
        <f>IF($AB24=1,Processed_Data!L24,0)</f>
        <v>0</v>
      </c>
      <c r="AE24">
        <f>IF($AB24=1,--(Processed_Data!M24="On Sale"),0)</f>
        <v>0</v>
      </c>
      <c r="AF24">
        <f>IF(AND($AB24=1,Processed_Data!C24="J."),Processed_Data!J24,"")</f>
        <v>7490</v>
      </c>
      <c r="AG24" t="str">
        <f>IF(AND($AB24=1,Processed_Data!C24="Maria.B"),Processed_Data!J24,"")</f>
        <v/>
      </c>
      <c r="AH24" t="str">
        <f>IF(AND($AB24=1,Processed_Data!C24="Sana Safinaz"),Processed_Data!J24,"")</f>
        <v/>
      </c>
      <c r="AI24">
        <f>IF(AND($AB24=1,Processed_Data!C24="J."),Processed_Data!L24,0)</f>
        <v>0</v>
      </c>
      <c r="AJ24">
        <f>IF(AND($AB24=1,Processed_Data!C24="Maria.B"),Processed_Data!L24,0)</f>
        <v>0</v>
      </c>
      <c r="AK24">
        <f>IF(AND($AB24=1,Processed_Data!C24="Sana Safinaz"),Processed_Data!L24,0)</f>
        <v>0</v>
      </c>
    </row>
    <row r="25" spans="21:37">
      <c r="U25" s="4">
        <f>IF(AND($AB25=1,Processed_Data!C25="J."),Processed_Data!J25,NA())</f>
        <v>7490</v>
      </c>
      <c r="V25" s="8">
        <f>IF(AND($AB25=1,Processed_Data!C25="J."),Processed_Data!L25/100,NA())</f>
        <v>0</v>
      </c>
      <c r="W25" s="4" t="e">
        <f>IF(AND($AB25=1,Processed_Data!C25="Maria.B"),Processed_Data!J25,NA())</f>
        <v>#N/A</v>
      </c>
      <c r="X25" s="8" t="e">
        <f>IF(AND($AB25=1,Processed_Data!C25="Maria.B"),Processed_Data!L25/100,NA())</f>
        <v>#N/A</v>
      </c>
      <c r="Y25" s="4" t="e">
        <f>IF(AND($AB25=1,Processed_Data!C25="Sana Safinaz"),Processed_Data!J25,NA())</f>
        <v>#N/A</v>
      </c>
      <c r="Z25" s="8" t="e">
        <f>IF(AND($AB25=1,Processed_Data!C25="Sana Safinaz"),Processed_Data!L25/100,NA())</f>
        <v>#N/A</v>
      </c>
      <c r="AB25">
        <f>--AND(OR($B$2="All",Processed_Data!C25=$B$2),OR($B$3="All",Processed_Data!F25=$B$3),OR($B$4="All",Processed_Data!G25=$B$4),OR($B$5="All",Processed_Data!H25=$B$5),OR($B$6="All",Processed_Data!R25=$B$6),OR($B$7="All",Processed_Data!N25=$B$7))</f>
        <v>1</v>
      </c>
      <c r="AC25">
        <f>IF($AB25=1,Processed_Data!J25,"")</f>
        <v>7490</v>
      </c>
      <c r="AD25">
        <f>IF($AB25=1,Processed_Data!L25,0)</f>
        <v>0</v>
      </c>
      <c r="AE25">
        <f>IF($AB25=1,--(Processed_Data!M25="On Sale"),0)</f>
        <v>0</v>
      </c>
      <c r="AF25">
        <f>IF(AND($AB25=1,Processed_Data!C25="J."),Processed_Data!J25,"")</f>
        <v>7490</v>
      </c>
      <c r="AG25" t="str">
        <f>IF(AND($AB25=1,Processed_Data!C25="Maria.B"),Processed_Data!J25,"")</f>
        <v/>
      </c>
      <c r="AH25" t="str">
        <f>IF(AND($AB25=1,Processed_Data!C25="Sana Safinaz"),Processed_Data!J25,"")</f>
        <v/>
      </c>
      <c r="AI25">
        <f>IF(AND($AB25=1,Processed_Data!C25="J."),Processed_Data!L25,0)</f>
        <v>0</v>
      </c>
      <c r="AJ25">
        <f>IF(AND($AB25=1,Processed_Data!C25="Maria.B"),Processed_Data!L25,0)</f>
        <v>0</v>
      </c>
      <c r="AK25">
        <f>IF(AND($AB25=1,Processed_Data!C25="Sana Safinaz"),Processed_Data!L25,0)</f>
        <v>0</v>
      </c>
    </row>
    <row r="26" spans="21:37">
      <c r="U26" s="4">
        <f>IF(AND($AB26=1,Processed_Data!C26="J."),Processed_Data!J26,NA())</f>
        <v>7490</v>
      </c>
      <c r="V26" s="8">
        <f>IF(AND($AB26=1,Processed_Data!C26="J."),Processed_Data!L26/100,NA())</f>
        <v>0</v>
      </c>
      <c r="W26" s="4" t="e">
        <f>IF(AND($AB26=1,Processed_Data!C26="Maria.B"),Processed_Data!J26,NA())</f>
        <v>#N/A</v>
      </c>
      <c r="X26" s="8" t="e">
        <f>IF(AND($AB26=1,Processed_Data!C26="Maria.B"),Processed_Data!L26/100,NA())</f>
        <v>#N/A</v>
      </c>
      <c r="Y26" s="4" t="e">
        <f>IF(AND($AB26=1,Processed_Data!C26="Sana Safinaz"),Processed_Data!J26,NA())</f>
        <v>#N/A</v>
      </c>
      <c r="Z26" s="8" t="e">
        <f>IF(AND($AB26=1,Processed_Data!C26="Sana Safinaz"),Processed_Data!L26/100,NA())</f>
        <v>#N/A</v>
      </c>
      <c r="AB26">
        <f>--AND(OR($B$2="All",Processed_Data!C26=$B$2),OR($B$3="All",Processed_Data!F26=$B$3),OR($B$4="All",Processed_Data!G26=$B$4),OR($B$5="All",Processed_Data!H26=$B$5),OR($B$6="All",Processed_Data!R26=$B$6),OR($B$7="All",Processed_Data!N26=$B$7))</f>
        <v>1</v>
      </c>
      <c r="AC26">
        <f>IF($AB26=1,Processed_Data!J26,"")</f>
        <v>7490</v>
      </c>
      <c r="AD26">
        <f>IF($AB26=1,Processed_Data!L26,0)</f>
        <v>0</v>
      </c>
      <c r="AE26">
        <f>IF($AB26=1,--(Processed_Data!M26="On Sale"),0)</f>
        <v>0</v>
      </c>
      <c r="AF26">
        <f>IF(AND($AB26=1,Processed_Data!C26="J."),Processed_Data!J26,"")</f>
        <v>7490</v>
      </c>
      <c r="AG26" t="str">
        <f>IF(AND($AB26=1,Processed_Data!C26="Maria.B"),Processed_Data!J26,"")</f>
        <v/>
      </c>
      <c r="AH26" t="str">
        <f>IF(AND($AB26=1,Processed_Data!C26="Sana Safinaz"),Processed_Data!J26,"")</f>
        <v/>
      </c>
      <c r="AI26">
        <f>IF(AND($AB26=1,Processed_Data!C26="J."),Processed_Data!L26,0)</f>
        <v>0</v>
      </c>
      <c r="AJ26">
        <f>IF(AND($AB26=1,Processed_Data!C26="Maria.B"),Processed_Data!L26,0)</f>
        <v>0</v>
      </c>
      <c r="AK26">
        <f>IF(AND($AB26=1,Processed_Data!C26="Sana Safinaz"),Processed_Data!L26,0)</f>
        <v>0</v>
      </c>
    </row>
    <row r="27" spans="21:37">
      <c r="U27" s="4">
        <f>IF(AND($AB27=1,Processed_Data!C27="J."),Processed_Data!J27,NA())</f>
        <v>6990</v>
      </c>
      <c r="V27" s="8">
        <f>IF(AND($AB27=1,Processed_Data!C27="J."),Processed_Data!L27/100,NA())</f>
        <v>0</v>
      </c>
      <c r="W27" s="4" t="e">
        <f>IF(AND($AB27=1,Processed_Data!C27="Maria.B"),Processed_Data!J27,NA())</f>
        <v>#N/A</v>
      </c>
      <c r="X27" s="8" t="e">
        <f>IF(AND($AB27=1,Processed_Data!C27="Maria.B"),Processed_Data!L27/100,NA())</f>
        <v>#N/A</v>
      </c>
      <c r="Y27" s="4" t="e">
        <f>IF(AND($AB27=1,Processed_Data!C27="Sana Safinaz"),Processed_Data!J27,NA())</f>
        <v>#N/A</v>
      </c>
      <c r="Z27" s="8" t="e">
        <f>IF(AND($AB27=1,Processed_Data!C27="Sana Safinaz"),Processed_Data!L27/100,NA())</f>
        <v>#N/A</v>
      </c>
      <c r="AB27">
        <f>--AND(OR($B$2="All",Processed_Data!C27=$B$2),OR($B$3="All",Processed_Data!F27=$B$3),OR($B$4="All",Processed_Data!G27=$B$4),OR($B$5="All",Processed_Data!H27=$B$5),OR($B$6="All",Processed_Data!R27=$B$6),OR($B$7="All",Processed_Data!N27=$B$7))</f>
        <v>1</v>
      </c>
      <c r="AC27">
        <f>IF($AB27=1,Processed_Data!J27,"")</f>
        <v>6990</v>
      </c>
      <c r="AD27">
        <f>IF($AB27=1,Processed_Data!L27,0)</f>
        <v>0</v>
      </c>
      <c r="AE27">
        <f>IF($AB27=1,--(Processed_Data!M27="On Sale"),0)</f>
        <v>0</v>
      </c>
      <c r="AF27">
        <f>IF(AND($AB27=1,Processed_Data!C27="J."),Processed_Data!J27,"")</f>
        <v>6990</v>
      </c>
      <c r="AG27" t="str">
        <f>IF(AND($AB27=1,Processed_Data!C27="Maria.B"),Processed_Data!J27,"")</f>
        <v/>
      </c>
      <c r="AH27" t="str">
        <f>IF(AND($AB27=1,Processed_Data!C27="Sana Safinaz"),Processed_Data!J27,"")</f>
        <v/>
      </c>
      <c r="AI27">
        <f>IF(AND($AB27=1,Processed_Data!C27="J."),Processed_Data!L27,0)</f>
        <v>0</v>
      </c>
      <c r="AJ27">
        <f>IF(AND($AB27=1,Processed_Data!C27="Maria.B"),Processed_Data!L27,0)</f>
        <v>0</v>
      </c>
      <c r="AK27">
        <f>IF(AND($AB27=1,Processed_Data!C27="Sana Safinaz"),Processed_Data!L27,0)</f>
        <v>0</v>
      </c>
    </row>
    <row r="28" spans="21:37">
      <c r="U28" s="4">
        <f>IF(AND($AB28=1,Processed_Data!C28="J."),Processed_Data!J28,NA())</f>
        <v>6990</v>
      </c>
      <c r="V28" s="8">
        <f>IF(AND($AB28=1,Processed_Data!C28="J."),Processed_Data!L28/100,NA())</f>
        <v>0</v>
      </c>
      <c r="W28" s="4" t="e">
        <f>IF(AND($AB28=1,Processed_Data!C28="Maria.B"),Processed_Data!J28,NA())</f>
        <v>#N/A</v>
      </c>
      <c r="X28" s="8" t="e">
        <f>IF(AND($AB28=1,Processed_Data!C28="Maria.B"),Processed_Data!L28/100,NA())</f>
        <v>#N/A</v>
      </c>
      <c r="Y28" s="4" t="e">
        <f>IF(AND($AB28=1,Processed_Data!C28="Sana Safinaz"),Processed_Data!J28,NA())</f>
        <v>#N/A</v>
      </c>
      <c r="Z28" s="8" t="e">
        <f>IF(AND($AB28=1,Processed_Data!C28="Sana Safinaz"),Processed_Data!L28/100,NA())</f>
        <v>#N/A</v>
      </c>
      <c r="AB28">
        <f>--AND(OR($B$2="All",Processed_Data!C28=$B$2),OR($B$3="All",Processed_Data!F28=$B$3),OR($B$4="All",Processed_Data!G28=$B$4),OR($B$5="All",Processed_Data!H28=$B$5),OR($B$6="All",Processed_Data!R28=$B$6),OR($B$7="All",Processed_Data!N28=$B$7))</f>
        <v>1</v>
      </c>
      <c r="AC28">
        <f>IF($AB28=1,Processed_Data!J28,"")</f>
        <v>6990</v>
      </c>
      <c r="AD28">
        <f>IF($AB28=1,Processed_Data!L28,0)</f>
        <v>0</v>
      </c>
      <c r="AE28">
        <f>IF($AB28=1,--(Processed_Data!M28="On Sale"),0)</f>
        <v>0</v>
      </c>
      <c r="AF28">
        <f>IF(AND($AB28=1,Processed_Data!C28="J."),Processed_Data!J28,"")</f>
        <v>6990</v>
      </c>
      <c r="AG28" t="str">
        <f>IF(AND($AB28=1,Processed_Data!C28="Maria.B"),Processed_Data!J28,"")</f>
        <v/>
      </c>
      <c r="AH28" t="str">
        <f>IF(AND($AB28=1,Processed_Data!C28="Sana Safinaz"),Processed_Data!J28,"")</f>
        <v/>
      </c>
      <c r="AI28">
        <f>IF(AND($AB28=1,Processed_Data!C28="J."),Processed_Data!L28,0)</f>
        <v>0</v>
      </c>
      <c r="AJ28">
        <f>IF(AND($AB28=1,Processed_Data!C28="Maria.B"),Processed_Data!L28,0)</f>
        <v>0</v>
      </c>
      <c r="AK28">
        <f>IF(AND($AB28=1,Processed_Data!C28="Sana Safinaz"),Processed_Data!L28,0)</f>
        <v>0</v>
      </c>
    </row>
    <row r="29" spans="21:37">
      <c r="U29" s="4">
        <f>IF(AND($AB29=1,Processed_Data!C29="J."),Processed_Data!J29,NA())</f>
        <v>6990</v>
      </c>
      <c r="V29" s="8">
        <f>IF(AND($AB29=1,Processed_Data!C29="J."),Processed_Data!L29/100,NA())</f>
        <v>0</v>
      </c>
      <c r="W29" s="4" t="e">
        <f>IF(AND($AB29=1,Processed_Data!C29="Maria.B"),Processed_Data!J29,NA())</f>
        <v>#N/A</v>
      </c>
      <c r="X29" s="8" t="e">
        <f>IF(AND($AB29=1,Processed_Data!C29="Maria.B"),Processed_Data!L29/100,NA())</f>
        <v>#N/A</v>
      </c>
      <c r="Y29" s="4" t="e">
        <f>IF(AND($AB29=1,Processed_Data!C29="Sana Safinaz"),Processed_Data!J29,NA())</f>
        <v>#N/A</v>
      </c>
      <c r="Z29" s="8" t="e">
        <f>IF(AND($AB29=1,Processed_Data!C29="Sana Safinaz"),Processed_Data!L29/100,NA())</f>
        <v>#N/A</v>
      </c>
      <c r="AB29">
        <f>--AND(OR($B$2="All",Processed_Data!C29=$B$2),OR($B$3="All",Processed_Data!F29=$B$3),OR($B$4="All",Processed_Data!G29=$B$4),OR($B$5="All",Processed_Data!H29=$B$5),OR($B$6="All",Processed_Data!R29=$B$6),OR($B$7="All",Processed_Data!N29=$B$7))</f>
        <v>1</v>
      </c>
      <c r="AC29">
        <f>IF($AB29=1,Processed_Data!J29,"")</f>
        <v>6990</v>
      </c>
      <c r="AD29">
        <f>IF($AB29=1,Processed_Data!L29,0)</f>
        <v>0</v>
      </c>
      <c r="AE29">
        <f>IF($AB29=1,--(Processed_Data!M29="On Sale"),0)</f>
        <v>0</v>
      </c>
      <c r="AF29">
        <f>IF(AND($AB29=1,Processed_Data!C29="J."),Processed_Data!J29,"")</f>
        <v>6990</v>
      </c>
      <c r="AG29" t="str">
        <f>IF(AND($AB29=1,Processed_Data!C29="Maria.B"),Processed_Data!J29,"")</f>
        <v/>
      </c>
      <c r="AH29" t="str">
        <f>IF(AND($AB29=1,Processed_Data!C29="Sana Safinaz"),Processed_Data!J29,"")</f>
        <v/>
      </c>
      <c r="AI29">
        <f>IF(AND($AB29=1,Processed_Data!C29="J."),Processed_Data!L29,0)</f>
        <v>0</v>
      </c>
      <c r="AJ29">
        <f>IF(AND($AB29=1,Processed_Data!C29="Maria.B"),Processed_Data!L29,0)</f>
        <v>0</v>
      </c>
      <c r="AK29">
        <f>IF(AND($AB29=1,Processed_Data!C29="Sana Safinaz"),Processed_Data!L29,0)</f>
        <v>0</v>
      </c>
    </row>
    <row r="30" spans="21:37">
      <c r="U30" s="4">
        <f>IF(AND($AB30=1,Processed_Data!C30="J."),Processed_Data!J30,NA())</f>
        <v>5990</v>
      </c>
      <c r="V30" s="8">
        <f>IF(AND($AB30=1,Processed_Data!C30="J."),Processed_Data!L30/100,NA())</f>
        <v>0</v>
      </c>
      <c r="W30" s="4" t="e">
        <f>IF(AND($AB30=1,Processed_Data!C30="Maria.B"),Processed_Data!J30,NA())</f>
        <v>#N/A</v>
      </c>
      <c r="X30" s="8" t="e">
        <f>IF(AND($AB30=1,Processed_Data!C30="Maria.B"),Processed_Data!L30/100,NA())</f>
        <v>#N/A</v>
      </c>
      <c r="Y30" s="4" t="e">
        <f>IF(AND($AB30=1,Processed_Data!C30="Sana Safinaz"),Processed_Data!J30,NA())</f>
        <v>#N/A</v>
      </c>
      <c r="Z30" s="8" t="e">
        <f>IF(AND($AB30=1,Processed_Data!C30="Sana Safinaz"),Processed_Data!L30/100,NA())</f>
        <v>#N/A</v>
      </c>
      <c r="AB30">
        <f>--AND(OR($B$2="All",Processed_Data!C30=$B$2),OR($B$3="All",Processed_Data!F30=$B$3),OR($B$4="All",Processed_Data!G30=$B$4),OR($B$5="All",Processed_Data!H30=$B$5),OR($B$6="All",Processed_Data!R30=$B$6),OR($B$7="All",Processed_Data!N30=$B$7))</f>
        <v>1</v>
      </c>
      <c r="AC30">
        <f>IF($AB30=1,Processed_Data!J30,"")</f>
        <v>5990</v>
      </c>
      <c r="AD30">
        <f>IF($AB30=1,Processed_Data!L30,0)</f>
        <v>0</v>
      </c>
      <c r="AE30">
        <f>IF($AB30=1,--(Processed_Data!M30="On Sale"),0)</f>
        <v>0</v>
      </c>
      <c r="AF30">
        <f>IF(AND($AB30=1,Processed_Data!C30="J."),Processed_Data!J30,"")</f>
        <v>5990</v>
      </c>
      <c r="AG30" t="str">
        <f>IF(AND($AB30=1,Processed_Data!C30="Maria.B"),Processed_Data!J30,"")</f>
        <v/>
      </c>
      <c r="AH30" t="str">
        <f>IF(AND($AB30=1,Processed_Data!C30="Sana Safinaz"),Processed_Data!J30,"")</f>
        <v/>
      </c>
      <c r="AI30">
        <f>IF(AND($AB30=1,Processed_Data!C30="J."),Processed_Data!L30,0)</f>
        <v>0</v>
      </c>
      <c r="AJ30">
        <f>IF(AND($AB30=1,Processed_Data!C30="Maria.B"),Processed_Data!L30,0)</f>
        <v>0</v>
      </c>
      <c r="AK30">
        <f>IF(AND($AB30=1,Processed_Data!C30="Sana Safinaz"),Processed_Data!L30,0)</f>
        <v>0</v>
      </c>
    </row>
    <row r="31" spans="21:37">
      <c r="U31" s="4">
        <f>IF(AND($AB31=1,Processed_Data!C31="J."),Processed_Data!J31,NA())</f>
        <v>5990</v>
      </c>
      <c r="V31" s="8">
        <f>IF(AND($AB31=1,Processed_Data!C31="J."),Processed_Data!L31/100,NA())</f>
        <v>0</v>
      </c>
      <c r="W31" s="4" t="e">
        <f>IF(AND($AB31=1,Processed_Data!C31="Maria.B"),Processed_Data!J31,NA())</f>
        <v>#N/A</v>
      </c>
      <c r="X31" s="8" t="e">
        <f>IF(AND($AB31=1,Processed_Data!C31="Maria.B"),Processed_Data!L31/100,NA())</f>
        <v>#N/A</v>
      </c>
      <c r="Y31" s="4" t="e">
        <f>IF(AND($AB31=1,Processed_Data!C31="Sana Safinaz"),Processed_Data!J31,NA())</f>
        <v>#N/A</v>
      </c>
      <c r="Z31" s="8" t="e">
        <f>IF(AND($AB31=1,Processed_Data!C31="Sana Safinaz"),Processed_Data!L31/100,NA())</f>
        <v>#N/A</v>
      </c>
      <c r="AB31">
        <f>--AND(OR($B$2="All",Processed_Data!C31=$B$2),OR($B$3="All",Processed_Data!F31=$B$3),OR($B$4="All",Processed_Data!G31=$B$4),OR($B$5="All",Processed_Data!H31=$B$5),OR($B$6="All",Processed_Data!R31=$B$6),OR($B$7="All",Processed_Data!N31=$B$7))</f>
        <v>1</v>
      </c>
      <c r="AC31">
        <f>IF($AB31=1,Processed_Data!J31,"")</f>
        <v>5990</v>
      </c>
      <c r="AD31">
        <f>IF($AB31=1,Processed_Data!L31,0)</f>
        <v>0</v>
      </c>
      <c r="AE31">
        <f>IF($AB31=1,--(Processed_Data!M31="On Sale"),0)</f>
        <v>0</v>
      </c>
      <c r="AF31">
        <f>IF(AND($AB31=1,Processed_Data!C31="J."),Processed_Data!J31,"")</f>
        <v>5990</v>
      </c>
      <c r="AG31" t="str">
        <f>IF(AND($AB31=1,Processed_Data!C31="Maria.B"),Processed_Data!J31,"")</f>
        <v/>
      </c>
      <c r="AH31" t="str">
        <f>IF(AND($AB31=1,Processed_Data!C31="Sana Safinaz"),Processed_Data!J31,"")</f>
        <v/>
      </c>
      <c r="AI31">
        <f>IF(AND($AB31=1,Processed_Data!C31="J."),Processed_Data!L31,0)</f>
        <v>0</v>
      </c>
      <c r="AJ31">
        <f>IF(AND($AB31=1,Processed_Data!C31="Maria.B"),Processed_Data!L31,0)</f>
        <v>0</v>
      </c>
      <c r="AK31">
        <f>IF(AND($AB31=1,Processed_Data!C31="Sana Safinaz"),Processed_Data!L31,0)</f>
        <v>0</v>
      </c>
    </row>
    <row r="32" spans="21:37">
      <c r="U32" s="4">
        <f>IF(AND($AB32=1,Processed_Data!C32="J."),Processed_Data!J32,NA())</f>
        <v>5990</v>
      </c>
      <c r="V32" s="8">
        <f>IF(AND($AB32=1,Processed_Data!C32="J."),Processed_Data!L32/100,NA())</f>
        <v>0</v>
      </c>
      <c r="W32" s="4" t="e">
        <f>IF(AND($AB32=1,Processed_Data!C32="Maria.B"),Processed_Data!J32,NA())</f>
        <v>#N/A</v>
      </c>
      <c r="X32" s="8" t="e">
        <f>IF(AND($AB32=1,Processed_Data!C32="Maria.B"),Processed_Data!L32/100,NA())</f>
        <v>#N/A</v>
      </c>
      <c r="Y32" s="4" t="e">
        <f>IF(AND($AB32=1,Processed_Data!C32="Sana Safinaz"),Processed_Data!J32,NA())</f>
        <v>#N/A</v>
      </c>
      <c r="Z32" s="8" t="e">
        <f>IF(AND($AB32=1,Processed_Data!C32="Sana Safinaz"),Processed_Data!L32/100,NA())</f>
        <v>#N/A</v>
      </c>
      <c r="AB32">
        <f>--AND(OR($B$2="All",Processed_Data!C32=$B$2),OR($B$3="All",Processed_Data!F32=$B$3),OR($B$4="All",Processed_Data!G32=$B$4),OR($B$5="All",Processed_Data!H32=$B$5),OR($B$6="All",Processed_Data!R32=$B$6),OR($B$7="All",Processed_Data!N32=$B$7))</f>
        <v>1</v>
      </c>
      <c r="AC32">
        <f>IF($AB32=1,Processed_Data!J32,"")</f>
        <v>5990</v>
      </c>
      <c r="AD32">
        <f>IF($AB32=1,Processed_Data!L32,0)</f>
        <v>0</v>
      </c>
      <c r="AE32">
        <f>IF($AB32=1,--(Processed_Data!M32="On Sale"),0)</f>
        <v>0</v>
      </c>
      <c r="AF32">
        <f>IF(AND($AB32=1,Processed_Data!C32="J."),Processed_Data!J32,"")</f>
        <v>5990</v>
      </c>
      <c r="AG32" t="str">
        <f>IF(AND($AB32=1,Processed_Data!C32="Maria.B"),Processed_Data!J32,"")</f>
        <v/>
      </c>
      <c r="AH32" t="str">
        <f>IF(AND($AB32=1,Processed_Data!C32="Sana Safinaz"),Processed_Data!J32,"")</f>
        <v/>
      </c>
      <c r="AI32">
        <f>IF(AND($AB32=1,Processed_Data!C32="J."),Processed_Data!L32,0)</f>
        <v>0</v>
      </c>
      <c r="AJ32">
        <f>IF(AND($AB32=1,Processed_Data!C32="Maria.B"),Processed_Data!L32,0)</f>
        <v>0</v>
      </c>
      <c r="AK32">
        <f>IF(AND($AB32=1,Processed_Data!C32="Sana Safinaz"),Processed_Data!L32,0)</f>
        <v>0</v>
      </c>
    </row>
    <row r="33" spans="21:37">
      <c r="U33" s="4">
        <f>IF(AND($AB33=1,Processed_Data!C33="J."),Processed_Data!J33,NA())</f>
        <v>5990</v>
      </c>
      <c r="V33" s="8">
        <f>IF(AND($AB33=1,Processed_Data!C33="J."),Processed_Data!L33/100,NA())</f>
        <v>0</v>
      </c>
      <c r="W33" s="4" t="e">
        <f>IF(AND($AB33=1,Processed_Data!C33="Maria.B"),Processed_Data!J33,NA())</f>
        <v>#N/A</v>
      </c>
      <c r="X33" s="8" t="e">
        <f>IF(AND($AB33=1,Processed_Data!C33="Maria.B"),Processed_Data!L33/100,NA())</f>
        <v>#N/A</v>
      </c>
      <c r="Y33" s="4" t="e">
        <f>IF(AND($AB33=1,Processed_Data!C33="Sana Safinaz"),Processed_Data!J33,NA())</f>
        <v>#N/A</v>
      </c>
      <c r="Z33" s="8" t="e">
        <f>IF(AND($AB33=1,Processed_Data!C33="Sana Safinaz"),Processed_Data!L33/100,NA())</f>
        <v>#N/A</v>
      </c>
      <c r="AB33">
        <f>--AND(OR($B$2="All",Processed_Data!C33=$B$2),OR($B$3="All",Processed_Data!F33=$B$3),OR($B$4="All",Processed_Data!G33=$B$4),OR($B$5="All",Processed_Data!H33=$B$5),OR($B$6="All",Processed_Data!R33=$B$6),OR($B$7="All",Processed_Data!N33=$B$7))</f>
        <v>1</v>
      </c>
      <c r="AC33">
        <f>IF($AB33=1,Processed_Data!J33,"")</f>
        <v>5990</v>
      </c>
      <c r="AD33">
        <f>IF($AB33=1,Processed_Data!L33,0)</f>
        <v>0</v>
      </c>
      <c r="AE33">
        <f>IF($AB33=1,--(Processed_Data!M33="On Sale"),0)</f>
        <v>0</v>
      </c>
      <c r="AF33">
        <f>IF(AND($AB33=1,Processed_Data!C33="J."),Processed_Data!J33,"")</f>
        <v>5990</v>
      </c>
      <c r="AG33" t="str">
        <f>IF(AND($AB33=1,Processed_Data!C33="Maria.B"),Processed_Data!J33,"")</f>
        <v/>
      </c>
      <c r="AH33" t="str">
        <f>IF(AND($AB33=1,Processed_Data!C33="Sana Safinaz"),Processed_Data!J33,"")</f>
        <v/>
      </c>
      <c r="AI33">
        <f>IF(AND($AB33=1,Processed_Data!C33="J."),Processed_Data!L33,0)</f>
        <v>0</v>
      </c>
      <c r="AJ33">
        <f>IF(AND($AB33=1,Processed_Data!C33="Maria.B"),Processed_Data!L33,0)</f>
        <v>0</v>
      </c>
      <c r="AK33">
        <f>IF(AND($AB33=1,Processed_Data!C33="Sana Safinaz"),Processed_Data!L33,0)</f>
        <v>0</v>
      </c>
    </row>
    <row r="34" spans="21:37">
      <c r="U34" s="4">
        <f>IF(AND($AB34=1,Processed_Data!C34="J."),Processed_Data!J34,NA())</f>
        <v>5990</v>
      </c>
      <c r="V34" s="8">
        <f>IF(AND($AB34=1,Processed_Data!C34="J."),Processed_Data!L34/100,NA())</f>
        <v>0</v>
      </c>
      <c r="W34" s="4" t="e">
        <f>IF(AND($AB34=1,Processed_Data!C34="Maria.B"),Processed_Data!J34,NA())</f>
        <v>#N/A</v>
      </c>
      <c r="X34" s="8" t="e">
        <f>IF(AND($AB34=1,Processed_Data!C34="Maria.B"),Processed_Data!L34/100,NA())</f>
        <v>#N/A</v>
      </c>
      <c r="Y34" s="4" t="e">
        <f>IF(AND($AB34=1,Processed_Data!C34="Sana Safinaz"),Processed_Data!J34,NA())</f>
        <v>#N/A</v>
      </c>
      <c r="Z34" s="8" t="e">
        <f>IF(AND($AB34=1,Processed_Data!C34="Sana Safinaz"),Processed_Data!L34/100,NA())</f>
        <v>#N/A</v>
      </c>
      <c r="AB34">
        <f>--AND(OR($B$2="All",Processed_Data!C34=$B$2),OR($B$3="All",Processed_Data!F34=$B$3),OR($B$4="All",Processed_Data!G34=$B$4),OR($B$5="All",Processed_Data!H34=$B$5),OR($B$6="All",Processed_Data!R34=$B$6),OR($B$7="All",Processed_Data!N34=$B$7))</f>
        <v>1</v>
      </c>
      <c r="AC34">
        <f>IF($AB34=1,Processed_Data!J34,"")</f>
        <v>5990</v>
      </c>
      <c r="AD34">
        <f>IF($AB34=1,Processed_Data!L34,0)</f>
        <v>0</v>
      </c>
      <c r="AE34">
        <f>IF($AB34=1,--(Processed_Data!M34="On Sale"),0)</f>
        <v>0</v>
      </c>
      <c r="AF34">
        <f>IF(AND($AB34=1,Processed_Data!C34="J."),Processed_Data!J34,"")</f>
        <v>5990</v>
      </c>
      <c r="AG34" t="str">
        <f>IF(AND($AB34=1,Processed_Data!C34="Maria.B"),Processed_Data!J34,"")</f>
        <v/>
      </c>
      <c r="AH34" t="str">
        <f>IF(AND($AB34=1,Processed_Data!C34="Sana Safinaz"),Processed_Data!J34,"")</f>
        <v/>
      </c>
      <c r="AI34">
        <f>IF(AND($AB34=1,Processed_Data!C34="J."),Processed_Data!L34,0)</f>
        <v>0</v>
      </c>
      <c r="AJ34">
        <f>IF(AND($AB34=1,Processed_Data!C34="Maria.B"),Processed_Data!L34,0)</f>
        <v>0</v>
      </c>
      <c r="AK34">
        <f>IF(AND($AB34=1,Processed_Data!C34="Sana Safinaz"),Processed_Data!L34,0)</f>
        <v>0</v>
      </c>
    </row>
    <row r="35" spans="21:37">
      <c r="U35" s="4">
        <f>IF(AND($AB35=1,Processed_Data!C35="J."),Processed_Data!J35,NA())</f>
        <v>5990</v>
      </c>
      <c r="V35" s="8">
        <f>IF(AND($AB35=1,Processed_Data!C35="J."),Processed_Data!L35/100,NA())</f>
        <v>0</v>
      </c>
      <c r="W35" s="4" t="e">
        <f>IF(AND($AB35=1,Processed_Data!C35="Maria.B"),Processed_Data!J35,NA())</f>
        <v>#N/A</v>
      </c>
      <c r="X35" s="8" t="e">
        <f>IF(AND($AB35=1,Processed_Data!C35="Maria.B"),Processed_Data!L35/100,NA())</f>
        <v>#N/A</v>
      </c>
      <c r="Y35" s="4" t="e">
        <f>IF(AND($AB35=1,Processed_Data!C35="Sana Safinaz"),Processed_Data!J35,NA())</f>
        <v>#N/A</v>
      </c>
      <c r="Z35" s="8" t="e">
        <f>IF(AND($AB35=1,Processed_Data!C35="Sana Safinaz"),Processed_Data!L35/100,NA())</f>
        <v>#N/A</v>
      </c>
      <c r="AB35">
        <f>--AND(OR($B$2="All",Processed_Data!C35=$B$2),OR($B$3="All",Processed_Data!F35=$B$3),OR($B$4="All",Processed_Data!G35=$B$4),OR($B$5="All",Processed_Data!H35=$B$5),OR($B$6="All",Processed_Data!R35=$B$6),OR($B$7="All",Processed_Data!N35=$B$7))</f>
        <v>1</v>
      </c>
      <c r="AC35">
        <f>IF($AB35=1,Processed_Data!J35,"")</f>
        <v>5990</v>
      </c>
      <c r="AD35">
        <f>IF($AB35=1,Processed_Data!L35,0)</f>
        <v>0</v>
      </c>
      <c r="AE35">
        <f>IF($AB35=1,--(Processed_Data!M35="On Sale"),0)</f>
        <v>0</v>
      </c>
      <c r="AF35">
        <f>IF(AND($AB35=1,Processed_Data!C35="J."),Processed_Data!J35,"")</f>
        <v>5990</v>
      </c>
      <c r="AG35" t="str">
        <f>IF(AND($AB35=1,Processed_Data!C35="Maria.B"),Processed_Data!J35,"")</f>
        <v/>
      </c>
      <c r="AH35" t="str">
        <f>IF(AND($AB35=1,Processed_Data!C35="Sana Safinaz"),Processed_Data!J35,"")</f>
        <v/>
      </c>
      <c r="AI35">
        <f>IF(AND($AB35=1,Processed_Data!C35="J."),Processed_Data!L35,0)</f>
        <v>0</v>
      </c>
      <c r="AJ35">
        <f>IF(AND($AB35=1,Processed_Data!C35="Maria.B"),Processed_Data!L35,0)</f>
        <v>0</v>
      </c>
      <c r="AK35">
        <f>IF(AND($AB35=1,Processed_Data!C35="Sana Safinaz"),Processed_Data!L35,0)</f>
        <v>0</v>
      </c>
    </row>
    <row r="36" spans="21:37">
      <c r="U36" s="4">
        <f>IF(AND($AB36=1,Processed_Data!C36="J."),Processed_Data!J36,NA())</f>
        <v>10990</v>
      </c>
      <c r="V36" s="8">
        <f>IF(AND($AB36=1,Processed_Data!C36="J."),Processed_Data!L36/100,NA())</f>
        <v>0</v>
      </c>
      <c r="W36" s="4" t="e">
        <f>IF(AND($AB36=1,Processed_Data!C36="Maria.B"),Processed_Data!J36,NA())</f>
        <v>#N/A</v>
      </c>
      <c r="X36" s="8" t="e">
        <f>IF(AND($AB36=1,Processed_Data!C36="Maria.B"),Processed_Data!L36/100,NA())</f>
        <v>#N/A</v>
      </c>
      <c r="Y36" s="4" t="e">
        <f>IF(AND($AB36=1,Processed_Data!C36="Sana Safinaz"),Processed_Data!J36,NA())</f>
        <v>#N/A</v>
      </c>
      <c r="Z36" s="8" t="e">
        <f>IF(AND($AB36=1,Processed_Data!C36="Sana Safinaz"),Processed_Data!L36/100,NA())</f>
        <v>#N/A</v>
      </c>
      <c r="AB36">
        <f>--AND(OR($B$2="All",Processed_Data!C36=$B$2),OR($B$3="All",Processed_Data!F36=$B$3),OR($B$4="All",Processed_Data!G36=$B$4),OR($B$5="All",Processed_Data!H36=$B$5),OR($B$6="All",Processed_Data!R36=$B$6),OR($B$7="All",Processed_Data!N36=$B$7))</f>
        <v>1</v>
      </c>
      <c r="AC36">
        <f>IF($AB36=1,Processed_Data!J36,"")</f>
        <v>10990</v>
      </c>
      <c r="AD36">
        <f>IF($AB36=1,Processed_Data!L36,0)</f>
        <v>0</v>
      </c>
      <c r="AE36">
        <f>IF($AB36=1,--(Processed_Data!M36="On Sale"),0)</f>
        <v>0</v>
      </c>
      <c r="AF36">
        <f>IF(AND($AB36=1,Processed_Data!C36="J."),Processed_Data!J36,"")</f>
        <v>10990</v>
      </c>
      <c r="AG36" t="str">
        <f>IF(AND($AB36=1,Processed_Data!C36="Maria.B"),Processed_Data!J36,"")</f>
        <v/>
      </c>
      <c r="AH36" t="str">
        <f>IF(AND($AB36=1,Processed_Data!C36="Sana Safinaz"),Processed_Data!J36,"")</f>
        <v/>
      </c>
      <c r="AI36">
        <f>IF(AND($AB36=1,Processed_Data!C36="J."),Processed_Data!L36,0)</f>
        <v>0</v>
      </c>
      <c r="AJ36">
        <f>IF(AND($AB36=1,Processed_Data!C36="Maria.B"),Processed_Data!L36,0)</f>
        <v>0</v>
      </c>
      <c r="AK36">
        <f>IF(AND($AB36=1,Processed_Data!C36="Sana Safinaz"),Processed_Data!L36,0)</f>
        <v>0</v>
      </c>
    </row>
    <row r="37" spans="21:37">
      <c r="U37" s="4">
        <f>IF(AND($AB37=1,Processed_Data!C37="J."),Processed_Data!J37,NA())</f>
        <v>9990</v>
      </c>
      <c r="V37" s="8">
        <f>IF(AND($AB37=1,Processed_Data!C37="J."),Processed_Data!L37/100,NA())</f>
        <v>0</v>
      </c>
      <c r="W37" s="4" t="e">
        <f>IF(AND($AB37=1,Processed_Data!C37="Maria.B"),Processed_Data!J37,NA())</f>
        <v>#N/A</v>
      </c>
      <c r="X37" s="8" t="e">
        <f>IF(AND($AB37=1,Processed_Data!C37="Maria.B"),Processed_Data!L37/100,NA())</f>
        <v>#N/A</v>
      </c>
      <c r="Y37" s="4" t="e">
        <f>IF(AND($AB37=1,Processed_Data!C37="Sana Safinaz"),Processed_Data!J37,NA())</f>
        <v>#N/A</v>
      </c>
      <c r="Z37" s="8" t="e">
        <f>IF(AND($AB37=1,Processed_Data!C37="Sana Safinaz"),Processed_Data!L37/100,NA())</f>
        <v>#N/A</v>
      </c>
      <c r="AB37">
        <f>--AND(OR($B$2="All",Processed_Data!C37=$B$2),OR($B$3="All",Processed_Data!F37=$B$3),OR($B$4="All",Processed_Data!G37=$B$4),OR($B$5="All",Processed_Data!H37=$B$5),OR($B$6="All",Processed_Data!R37=$B$6),OR($B$7="All",Processed_Data!N37=$B$7))</f>
        <v>1</v>
      </c>
      <c r="AC37">
        <f>IF($AB37=1,Processed_Data!J37,"")</f>
        <v>9990</v>
      </c>
      <c r="AD37">
        <f>IF($AB37=1,Processed_Data!L37,0)</f>
        <v>0</v>
      </c>
      <c r="AE37">
        <f>IF($AB37=1,--(Processed_Data!M37="On Sale"),0)</f>
        <v>0</v>
      </c>
      <c r="AF37">
        <f>IF(AND($AB37=1,Processed_Data!C37="J."),Processed_Data!J37,"")</f>
        <v>9990</v>
      </c>
      <c r="AG37" t="str">
        <f>IF(AND($AB37=1,Processed_Data!C37="Maria.B"),Processed_Data!J37,"")</f>
        <v/>
      </c>
      <c r="AH37" t="str">
        <f>IF(AND($AB37=1,Processed_Data!C37="Sana Safinaz"),Processed_Data!J37,"")</f>
        <v/>
      </c>
      <c r="AI37">
        <f>IF(AND($AB37=1,Processed_Data!C37="J."),Processed_Data!L37,0)</f>
        <v>0</v>
      </c>
      <c r="AJ37">
        <f>IF(AND($AB37=1,Processed_Data!C37="Maria.B"),Processed_Data!L37,0)</f>
        <v>0</v>
      </c>
      <c r="AK37">
        <f>IF(AND($AB37=1,Processed_Data!C37="Sana Safinaz"),Processed_Data!L37,0)</f>
        <v>0</v>
      </c>
    </row>
    <row r="38" spans="21:37">
      <c r="U38" s="4">
        <f>IF(AND($AB38=1,Processed_Data!C38="J."),Processed_Data!J38,NA())</f>
        <v>8990</v>
      </c>
      <c r="V38" s="8">
        <f>IF(AND($AB38=1,Processed_Data!C38="J."),Processed_Data!L38/100,NA())</f>
        <v>0</v>
      </c>
      <c r="W38" s="4" t="e">
        <f>IF(AND($AB38=1,Processed_Data!C38="Maria.B"),Processed_Data!J38,NA())</f>
        <v>#N/A</v>
      </c>
      <c r="X38" s="8" t="e">
        <f>IF(AND($AB38=1,Processed_Data!C38="Maria.B"),Processed_Data!L38/100,NA())</f>
        <v>#N/A</v>
      </c>
      <c r="Y38" s="4" t="e">
        <f>IF(AND($AB38=1,Processed_Data!C38="Sana Safinaz"),Processed_Data!J38,NA())</f>
        <v>#N/A</v>
      </c>
      <c r="Z38" s="8" t="e">
        <f>IF(AND($AB38=1,Processed_Data!C38="Sana Safinaz"),Processed_Data!L38/100,NA())</f>
        <v>#N/A</v>
      </c>
      <c r="AB38">
        <f>--AND(OR($B$2="All",Processed_Data!C38=$B$2),OR($B$3="All",Processed_Data!F38=$B$3),OR($B$4="All",Processed_Data!G38=$B$4),OR($B$5="All",Processed_Data!H38=$B$5),OR($B$6="All",Processed_Data!R38=$B$6),OR($B$7="All",Processed_Data!N38=$B$7))</f>
        <v>1</v>
      </c>
      <c r="AC38">
        <f>IF($AB38=1,Processed_Data!J38,"")</f>
        <v>8990</v>
      </c>
      <c r="AD38">
        <f>IF($AB38=1,Processed_Data!L38,0)</f>
        <v>0</v>
      </c>
      <c r="AE38">
        <f>IF($AB38=1,--(Processed_Data!M38="On Sale"),0)</f>
        <v>0</v>
      </c>
      <c r="AF38">
        <f>IF(AND($AB38=1,Processed_Data!C38="J."),Processed_Data!J38,"")</f>
        <v>8990</v>
      </c>
      <c r="AG38" t="str">
        <f>IF(AND($AB38=1,Processed_Data!C38="Maria.B"),Processed_Data!J38,"")</f>
        <v/>
      </c>
      <c r="AH38" t="str">
        <f>IF(AND($AB38=1,Processed_Data!C38="Sana Safinaz"),Processed_Data!J38,"")</f>
        <v/>
      </c>
      <c r="AI38">
        <f>IF(AND($AB38=1,Processed_Data!C38="J."),Processed_Data!L38,0)</f>
        <v>0</v>
      </c>
      <c r="AJ38">
        <f>IF(AND($AB38=1,Processed_Data!C38="Maria.B"),Processed_Data!L38,0)</f>
        <v>0</v>
      </c>
      <c r="AK38">
        <f>IF(AND($AB38=1,Processed_Data!C38="Sana Safinaz"),Processed_Data!L38,0)</f>
        <v>0</v>
      </c>
    </row>
    <row r="39" spans="21:37">
      <c r="U39" s="4">
        <f>IF(AND($AB39=1,Processed_Data!C39="J."),Processed_Data!J39,NA())</f>
        <v>8990</v>
      </c>
      <c r="V39" s="8">
        <f>IF(AND($AB39=1,Processed_Data!C39="J."),Processed_Data!L39/100,NA())</f>
        <v>0</v>
      </c>
      <c r="W39" s="4" t="e">
        <f>IF(AND($AB39=1,Processed_Data!C39="Maria.B"),Processed_Data!J39,NA())</f>
        <v>#N/A</v>
      </c>
      <c r="X39" s="8" t="e">
        <f>IF(AND($AB39=1,Processed_Data!C39="Maria.B"),Processed_Data!L39/100,NA())</f>
        <v>#N/A</v>
      </c>
      <c r="Y39" s="4" t="e">
        <f>IF(AND($AB39=1,Processed_Data!C39="Sana Safinaz"),Processed_Data!J39,NA())</f>
        <v>#N/A</v>
      </c>
      <c r="Z39" s="8" t="e">
        <f>IF(AND($AB39=1,Processed_Data!C39="Sana Safinaz"),Processed_Data!L39/100,NA())</f>
        <v>#N/A</v>
      </c>
      <c r="AB39">
        <f>--AND(OR($B$2="All",Processed_Data!C39=$B$2),OR($B$3="All",Processed_Data!F39=$B$3),OR($B$4="All",Processed_Data!G39=$B$4),OR($B$5="All",Processed_Data!H39=$B$5),OR($B$6="All",Processed_Data!R39=$B$6),OR($B$7="All",Processed_Data!N39=$B$7))</f>
        <v>1</v>
      </c>
      <c r="AC39">
        <f>IF($AB39=1,Processed_Data!J39,"")</f>
        <v>8990</v>
      </c>
      <c r="AD39">
        <f>IF($AB39=1,Processed_Data!L39,0)</f>
        <v>0</v>
      </c>
      <c r="AE39">
        <f>IF($AB39=1,--(Processed_Data!M39="On Sale"),0)</f>
        <v>0</v>
      </c>
      <c r="AF39">
        <f>IF(AND($AB39=1,Processed_Data!C39="J."),Processed_Data!J39,"")</f>
        <v>8990</v>
      </c>
      <c r="AG39" t="str">
        <f>IF(AND($AB39=1,Processed_Data!C39="Maria.B"),Processed_Data!J39,"")</f>
        <v/>
      </c>
      <c r="AH39" t="str">
        <f>IF(AND($AB39=1,Processed_Data!C39="Sana Safinaz"),Processed_Data!J39,"")</f>
        <v/>
      </c>
      <c r="AI39">
        <f>IF(AND($AB39=1,Processed_Data!C39="J."),Processed_Data!L39,0)</f>
        <v>0</v>
      </c>
      <c r="AJ39">
        <f>IF(AND($AB39=1,Processed_Data!C39="Maria.B"),Processed_Data!L39,0)</f>
        <v>0</v>
      </c>
      <c r="AK39">
        <f>IF(AND($AB39=1,Processed_Data!C39="Sana Safinaz"),Processed_Data!L39,0)</f>
        <v>0</v>
      </c>
    </row>
    <row r="40" spans="21:37">
      <c r="U40" s="4">
        <f>IF(AND($AB40=1,Processed_Data!C40="J."),Processed_Data!J40,NA())</f>
        <v>8990</v>
      </c>
      <c r="V40" s="8">
        <f>IF(AND($AB40=1,Processed_Data!C40="J."),Processed_Data!L40/100,NA())</f>
        <v>0</v>
      </c>
      <c r="W40" s="4" t="e">
        <f>IF(AND($AB40=1,Processed_Data!C40="Maria.B"),Processed_Data!J40,NA())</f>
        <v>#N/A</v>
      </c>
      <c r="X40" s="8" t="e">
        <f>IF(AND($AB40=1,Processed_Data!C40="Maria.B"),Processed_Data!L40/100,NA())</f>
        <v>#N/A</v>
      </c>
      <c r="Y40" s="4" t="e">
        <f>IF(AND($AB40=1,Processed_Data!C40="Sana Safinaz"),Processed_Data!J40,NA())</f>
        <v>#N/A</v>
      </c>
      <c r="Z40" s="8" t="e">
        <f>IF(AND($AB40=1,Processed_Data!C40="Sana Safinaz"),Processed_Data!L40/100,NA())</f>
        <v>#N/A</v>
      </c>
      <c r="AB40">
        <f>--AND(OR($B$2="All",Processed_Data!C40=$B$2),OR($B$3="All",Processed_Data!F40=$B$3),OR($B$4="All",Processed_Data!G40=$B$4),OR($B$5="All",Processed_Data!H40=$B$5),OR($B$6="All",Processed_Data!R40=$B$6),OR($B$7="All",Processed_Data!N40=$B$7))</f>
        <v>1</v>
      </c>
      <c r="AC40">
        <f>IF($AB40=1,Processed_Data!J40,"")</f>
        <v>8990</v>
      </c>
      <c r="AD40">
        <f>IF($AB40=1,Processed_Data!L40,0)</f>
        <v>0</v>
      </c>
      <c r="AE40">
        <f>IF($AB40=1,--(Processed_Data!M40="On Sale"),0)</f>
        <v>0</v>
      </c>
      <c r="AF40">
        <f>IF(AND($AB40=1,Processed_Data!C40="J."),Processed_Data!J40,"")</f>
        <v>8990</v>
      </c>
      <c r="AG40" t="str">
        <f>IF(AND($AB40=1,Processed_Data!C40="Maria.B"),Processed_Data!J40,"")</f>
        <v/>
      </c>
      <c r="AH40" t="str">
        <f>IF(AND($AB40=1,Processed_Data!C40="Sana Safinaz"),Processed_Data!J40,"")</f>
        <v/>
      </c>
      <c r="AI40">
        <f>IF(AND($AB40=1,Processed_Data!C40="J."),Processed_Data!L40,0)</f>
        <v>0</v>
      </c>
      <c r="AJ40">
        <f>IF(AND($AB40=1,Processed_Data!C40="Maria.B"),Processed_Data!L40,0)</f>
        <v>0</v>
      </c>
      <c r="AK40">
        <f>IF(AND($AB40=1,Processed_Data!C40="Sana Safinaz"),Processed_Data!L40,0)</f>
        <v>0</v>
      </c>
    </row>
    <row r="41" spans="21:37">
      <c r="U41" s="4">
        <f>IF(AND($AB41=1,Processed_Data!C41="J."),Processed_Data!J41,NA())</f>
        <v>8990</v>
      </c>
      <c r="V41" s="8">
        <f>IF(AND($AB41=1,Processed_Data!C41="J."),Processed_Data!L41/100,NA())</f>
        <v>0</v>
      </c>
      <c r="W41" s="4" t="e">
        <f>IF(AND($AB41=1,Processed_Data!C41="Maria.B"),Processed_Data!J41,NA())</f>
        <v>#N/A</v>
      </c>
      <c r="X41" s="8" t="e">
        <f>IF(AND($AB41=1,Processed_Data!C41="Maria.B"),Processed_Data!L41/100,NA())</f>
        <v>#N/A</v>
      </c>
      <c r="Y41" s="4" t="e">
        <f>IF(AND($AB41=1,Processed_Data!C41="Sana Safinaz"),Processed_Data!J41,NA())</f>
        <v>#N/A</v>
      </c>
      <c r="Z41" s="8" t="e">
        <f>IF(AND($AB41=1,Processed_Data!C41="Sana Safinaz"),Processed_Data!L41/100,NA())</f>
        <v>#N/A</v>
      </c>
      <c r="AB41">
        <f>--AND(OR($B$2="All",Processed_Data!C41=$B$2),OR($B$3="All",Processed_Data!F41=$B$3),OR($B$4="All",Processed_Data!G41=$B$4),OR($B$5="All",Processed_Data!H41=$B$5),OR($B$6="All",Processed_Data!R41=$B$6),OR($B$7="All",Processed_Data!N41=$B$7))</f>
        <v>1</v>
      </c>
      <c r="AC41">
        <f>IF($AB41=1,Processed_Data!J41,"")</f>
        <v>8990</v>
      </c>
      <c r="AD41">
        <f>IF($AB41=1,Processed_Data!L41,0)</f>
        <v>0</v>
      </c>
      <c r="AE41">
        <f>IF($AB41=1,--(Processed_Data!M41="On Sale"),0)</f>
        <v>0</v>
      </c>
      <c r="AF41">
        <f>IF(AND($AB41=1,Processed_Data!C41="J."),Processed_Data!J41,"")</f>
        <v>8990</v>
      </c>
      <c r="AG41" t="str">
        <f>IF(AND($AB41=1,Processed_Data!C41="Maria.B"),Processed_Data!J41,"")</f>
        <v/>
      </c>
      <c r="AH41" t="str">
        <f>IF(AND($AB41=1,Processed_Data!C41="Sana Safinaz"),Processed_Data!J41,"")</f>
        <v/>
      </c>
      <c r="AI41">
        <f>IF(AND($AB41=1,Processed_Data!C41="J."),Processed_Data!L41,0)</f>
        <v>0</v>
      </c>
      <c r="AJ41">
        <f>IF(AND($AB41=1,Processed_Data!C41="Maria.B"),Processed_Data!L41,0)</f>
        <v>0</v>
      </c>
      <c r="AK41">
        <f>IF(AND($AB41=1,Processed_Data!C41="Sana Safinaz"),Processed_Data!L41,0)</f>
        <v>0</v>
      </c>
    </row>
    <row r="42" spans="21:37">
      <c r="U42" s="4">
        <f>IF(AND($AB42=1,Processed_Data!C42="J."),Processed_Data!J42,NA())</f>
        <v>9990</v>
      </c>
      <c r="V42" s="8">
        <f>IF(AND($AB42=1,Processed_Data!C42="J."),Processed_Data!L42/100,NA())</f>
        <v>0</v>
      </c>
      <c r="W42" s="4" t="e">
        <f>IF(AND($AB42=1,Processed_Data!C42="Maria.B"),Processed_Data!J42,NA())</f>
        <v>#N/A</v>
      </c>
      <c r="X42" s="8" t="e">
        <f>IF(AND($AB42=1,Processed_Data!C42="Maria.B"),Processed_Data!L42/100,NA())</f>
        <v>#N/A</v>
      </c>
      <c r="Y42" s="4" t="e">
        <f>IF(AND($AB42=1,Processed_Data!C42="Sana Safinaz"),Processed_Data!J42,NA())</f>
        <v>#N/A</v>
      </c>
      <c r="Z42" s="8" t="e">
        <f>IF(AND($AB42=1,Processed_Data!C42="Sana Safinaz"),Processed_Data!L42/100,NA())</f>
        <v>#N/A</v>
      </c>
      <c r="AB42">
        <f>--AND(OR($B$2="All",Processed_Data!C42=$B$2),OR($B$3="All",Processed_Data!F42=$B$3),OR($B$4="All",Processed_Data!G42=$B$4),OR($B$5="All",Processed_Data!H42=$B$5),OR($B$6="All",Processed_Data!R42=$B$6),OR($B$7="All",Processed_Data!N42=$B$7))</f>
        <v>1</v>
      </c>
      <c r="AC42">
        <f>IF($AB42=1,Processed_Data!J42,"")</f>
        <v>9990</v>
      </c>
      <c r="AD42">
        <f>IF($AB42=1,Processed_Data!L42,0)</f>
        <v>0</v>
      </c>
      <c r="AE42">
        <f>IF($AB42=1,--(Processed_Data!M42="On Sale"),0)</f>
        <v>0</v>
      </c>
      <c r="AF42">
        <f>IF(AND($AB42=1,Processed_Data!C42="J."),Processed_Data!J42,"")</f>
        <v>9990</v>
      </c>
      <c r="AG42" t="str">
        <f>IF(AND($AB42=1,Processed_Data!C42="Maria.B"),Processed_Data!J42,"")</f>
        <v/>
      </c>
      <c r="AH42" t="str">
        <f>IF(AND($AB42=1,Processed_Data!C42="Sana Safinaz"),Processed_Data!J42,"")</f>
        <v/>
      </c>
      <c r="AI42">
        <f>IF(AND($AB42=1,Processed_Data!C42="J."),Processed_Data!L42,0)</f>
        <v>0</v>
      </c>
      <c r="AJ42">
        <f>IF(AND($AB42=1,Processed_Data!C42="Maria.B"),Processed_Data!L42,0)</f>
        <v>0</v>
      </c>
      <c r="AK42">
        <f>IF(AND($AB42=1,Processed_Data!C42="Sana Safinaz"),Processed_Data!L42,0)</f>
        <v>0</v>
      </c>
    </row>
    <row r="43" spans="21:37">
      <c r="U43" s="4">
        <f>IF(AND($AB43=1,Processed_Data!C43="J."),Processed_Data!J43,NA())</f>
        <v>9990</v>
      </c>
      <c r="V43" s="8">
        <f>IF(AND($AB43=1,Processed_Data!C43="J."),Processed_Data!L43/100,NA())</f>
        <v>0</v>
      </c>
      <c r="W43" s="4" t="e">
        <f>IF(AND($AB43=1,Processed_Data!C43="Maria.B"),Processed_Data!J43,NA())</f>
        <v>#N/A</v>
      </c>
      <c r="X43" s="8" t="e">
        <f>IF(AND($AB43=1,Processed_Data!C43="Maria.B"),Processed_Data!L43/100,NA())</f>
        <v>#N/A</v>
      </c>
      <c r="Y43" s="4" t="e">
        <f>IF(AND($AB43=1,Processed_Data!C43="Sana Safinaz"),Processed_Data!J43,NA())</f>
        <v>#N/A</v>
      </c>
      <c r="Z43" s="8" t="e">
        <f>IF(AND($AB43=1,Processed_Data!C43="Sana Safinaz"),Processed_Data!L43/100,NA())</f>
        <v>#N/A</v>
      </c>
      <c r="AB43">
        <f>--AND(OR($B$2="All",Processed_Data!C43=$B$2),OR($B$3="All",Processed_Data!F43=$B$3),OR($B$4="All",Processed_Data!G43=$B$4),OR($B$5="All",Processed_Data!H43=$B$5),OR($B$6="All",Processed_Data!R43=$B$6),OR($B$7="All",Processed_Data!N43=$B$7))</f>
        <v>1</v>
      </c>
      <c r="AC43">
        <f>IF($AB43=1,Processed_Data!J43,"")</f>
        <v>9990</v>
      </c>
      <c r="AD43">
        <f>IF($AB43=1,Processed_Data!L43,0)</f>
        <v>0</v>
      </c>
      <c r="AE43">
        <f>IF($AB43=1,--(Processed_Data!M43="On Sale"),0)</f>
        <v>0</v>
      </c>
      <c r="AF43">
        <f>IF(AND($AB43=1,Processed_Data!C43="J."),Processed_Data!J43,"")</f>
        <v>9990</v>
      </c>
      <c r="AG43" t="str">
        <f>IF(AND($AB43=1,Processed_Data!C43="Maria.B"),Processed_Data!J43,"")</f>
        <v/>
      </c>
      <c r="AH43" t="str">
        <f>IF(AND($AB43=1,Processed_Data!C43="Sana Safinaz"),Processed_Data!J43,"")</f>
        <v/>
      </c>
      <c r="AI43">
        <f>IF(AND($AB43=1,Processed_Data!C43="J."),Processed_Data!L43,0)</f>
        <v>0</v>
      </c>
      <c r="AJ43">
        <f>IF(AND($AB43=1,Processed_Data!C43="Maria.B"),Processed_Data!L43,0)</f>
        <v>0</v>
      </c>
      <c r="AK43">
        <f>IF(AND($AB43=1,Processed_Data!C43="Sana Safinaz"),Processed_Data!L43,0)</f>
        <v>0</v>
      </c>
    </row>
    <row r="44" spans="21:37">
      <c r="U44" s="4">
        <f>IF(AND($AB44=1,Processed_Data!C44="J."),Processed_Data!J44,NA())</f>
        <v>9990</v>
      </c>
      <c r="V44" s="8">
        <f>IF(AND($AB44=1,Processed_Data!C44="J."),Processed_Data!L44/100,NA())</f>
        <v>0</v>
      </c>
      <c r="W44" s="4" t="e">
        <f>IF(AND($AB44=1,Processed_Data!C44="Maria.B"),Processed_Data!J44,NA())</f>
        <v>#N/A</v>
      </c>
      <c r="X44" s="8" t="e">
        <f>IF(AND($AB44=1,Processed_Data!C44="Maria.B"),Processed_Data!L44/100,NA())</f>
        <v>#N/A</v>
      </c>
      <c r="Y44" s="4" t="e">
        <f>IF(AND($AB44=1,Processed_Data!C44="Sana Safinaz"),Processed_Data!J44,NA())</f>
        <v>#N/A</v>
      </c>
      <c r="Z44" s="8" t="e">
        <f>IF(AND($AB44=1,Processed_Data!C44="Sana Safinaz"),Processed_Data!L44/100,NA())</f>
        <v>#N/A</v>
      </c>
      <c r="AB44">
        <f>--AND(OR($B$2="All",Processed_Data!C44=$B$2),OR($B$3="All",Processed_Data!F44=$B$3),OR($B$4="All",Processed_Data!G44=$B$4),OR($B$5="All",Processed_Data!H44=$B$5),OR($B$6="All",Processed_Data!R44=$B$6),OR($B$7="All",Processed_Data!N44=$B$7))</f>
        <v>1</v>
      </c>
      <c r="AC44">
        <f>IF($AB44=1,Processed_Data!J44,"")</f>
        <v>9990</v>
      </c>
      <c r="AD44">
        <f>IF($AB44=1,Processed_Data!L44,0)</f>
        <v>0</v>
      </c>
      <c r="AE44">
        <f>IF($AB44=1,--(Processed_Data!M44="On Sale"),0)</f>
        <v>0</v>
      </c>
      <c r="AF44">
        <f>IF(AND($AB44=1,Processed_Data!C44="J."),Processed_Data!J44,"")</f>
        <v>9990</v>
      </c>
      <c r="AG44" t="str">
        <f>IF(AND($AB44=1,Processed_Data!C44="Maria.B"),Processed_Data!J44,"")</f>
        <v/>
      </c>
      <c r="AH44" t="str">
        <f>IF(AND($AB44=1,Processed_Data!C44="Sana Safinaz"),Processed_Data!J44,"")</f>
        <v/>
      </c>
      <c r="AI44">
        <f>IF(AND($AB44=1,Processed_Data!C44="J."),Processed_Data!L44,0)</f>
        <v>0</v>
      </c>
      <c r="AJ44">
        <f>IF(AND($AB44=1,Processed_Data!C44="Maria.B"),Processed_Data!L44,0)</f>
        <v>0</v>
      </c>
      <c r="AK44">
        <f>IF(AND($AB44=1,Processed_Data!C44="Sana Safinaz"),Processed_Data!L44,0)</f>
        <v>0</v>
      </c>
    </row>
    <row r="45" spans="21:37">
      <c r="U45" s="4">
        <f>IF(AND($AB45=1,Processed_Data!C45="J."),Processed_Data!J45,NA())</f>
        <v>9990</v>
      </c>
      <c r="V45" s="8">
        <f>IF(AND($AB45=1,Processed_Data!C45="J."),Processed_Data!L45/100,NA())</f>
        <v>0</v>
      </c>
      <c r="W45" s="4" t="e">
        <f>IF(AND($AB45=1,Processed_Data!C45="Maria.B"),Processed_Data!J45,NA())</f>
        <v>#N/A</v>
      </c>
      <c r="X45" s="8" t="e">
        <f>IF(AND($AB45=1,Processed_Data!C45="Maria.B"),Processed_Data!L45/100,NA())</f>
        <v>#N/A</v>
      </c>
      <c r="Y45" s="4" t="e">
        <f>IF(AND($AB45=1,Processed_Data!C45="Sana Safinaz"),Processed_Data!J45,NA())</f>
        <v>#N/A</v>
      </c>
      <c r="Z45" s="8" t="e">
        <f>IF(AND($AB45=1,Processed_Data!C45="Sana Safinaz"),Processed_Data!L45/100,NA())</f>
        <v>#N/A</v>
      </c>
      <c r="AB45">
        <f>--AND(OR($B$2="All",Processed_Data!C45=$B$2),OR($B$3="All",Processed_Data!F45=$B$3),OR($B$4="All",Processed_Data!G45=$B$4),OR($B$5="All",Processed_Data!H45=$B$5),OR($B$6="All",Processed_Data!R45=$B$6),OR($B$7="All",Processed_Data!N45=$B$7))</f>
        <v>1</v>
      </c>
      <c r="AC45">
        <f>IF($AB45=1,Processed_Data!J45,"")</f>
        <v>9990</v>
      </c>
      <c r="AD45">
        <f>IF($AB45=1,Processed_Data!L45,0)</f>
        <v>0</v>
      </c>
      <c r="AE45">
        <f>IF($AB45=1,--(Processed_Data!M45="On Sale"),0)</f>
        <v>0</v>
      </c>
      <c r="AF45">
        <f>IF(AND($AB45=1,Processed_Data!C45="J."),Processed_Data!J45,"")</f>
        <v>9990</v>
      </c>
      <c r="AG45" t="str">
        <f>IF(AND($AB45=1,Processed_Data!C45="Maria.B"),Processed_Data!J45,"")</f>
        <v/>
      </c>
      <c r="AH45" t="str">
        <f>IF(AND($AB45=1,Processed_Data!C45="Sana Safinaz"),Processed_Data!J45,"")</f>
        <v/>
      </c>
      <c r="AI45">
        <f>IF(AND($AB45=1,Processed_Data!C45="J."),Processed_Data!L45,0)</f>
        <v>0</v>
      </c>
      <c r="AJ45">
        <f>IF(AND($AB45=1,Processed_Data!C45="Maria.B"),Processed_Data!L45,0)</f>
        <v>0</v>
      </c>
      <c r="AK45">
        <f>IF(AND($AB45=1,Processed_Data!C45="Sana Safinaz"),Processed_Data!L45,0)</f>
        <v>0</v>
      </c>
    </row>
    <row r="46" spans="21:37">
      <c r="U46" s="4">
        <f>IF(AND($AB46=1,Processed_Data!C46="J."),Processed_Data!J46,NA())</f>
        <v>6990</v>
      </c>
      <c r="V46" s="8">
        <f>IF(AND($AB46=1,Processed_Data!C46="J."),Processed_Data!L46/100,NA())</f>
        <v>0</v>
      </c>
      <c r="W46" s="4" t="e">
        <f>IF(AND($AB46=1,Processed_Data!C46="Maria.B"),Processed_Data!J46,NA())</f>
        <v>#N/A</v>
      </c>
      <c r="X46" s="8" t="e">
        <f>IF(AND($AB46=1,Processed_Data!C46="Maria.B"),Processed_Data!L46/100,NA())</f>
        <v>#N/A</v>
      </c>
      <c r="Y46" s="4" t="e">
        <f>IF(AND($AB46=1,Processed_Data!C46="Sana Safinaz"),Processed_Data!J46,NA())</f>
        <v>#N/A</v>
      </c>
      <c r="Z46" s="8" t="e">
        <f>IF(AND($AB46=1,Processed_Data!C46="Sana Safinaz"),Processed_Data!L46/100,NA())</f>
        <v>#N/A</v>
      </c>
      <c r="AB46">
        <f>--AND(OR($B$2="All",Processed_Data!C46=$B$2),OR($B$3="All",Processed_Data!F46=$B$3),OR($B$4="All",Processed_Data!G46=$B$4),OR($B$5="All",Processed_Data!H46=$B$5),OR($B$6="All",Processed_Data!R46=$B$6),OR($B$7="All",Processed_Data!N46=$B$7))</f>
        <v>1</v>
      </c>
      <c r="AC46">
        <f>IF($AB46=1,Processed_Data!J46,"")</f>
        <v>6990</v>
      </c>
      <c r="AD46">
        <f>IF($AB46=1,Processed_Data!L46,0)</f>
        <v>0</v>
      </c>
      <c r="AE46">
        <f>IF($AB46=1,--(Processed_Data!M46="On Sale"),0)</f>
        <v>0</v>
      </c>
      <c r="AF46">
        <f>IF(AND($AB46=1,Processed_Data!C46="J."),Processed_Data!J46,"")</f>
        <v>6990</v>
      </c>
      <c r="AG46" t="str">
        <f>IF(AND($AB46=1,Processed_Data!C46="Maria.B"),Processed_Data!J46,"")</f>
        <v/>
      </c>
      <c r="AH46" t="str">
        <f>IF(AND($AB46=1,Processed_Data!C46="Sana Safinaz"),Processed_Data!J46,"")</f>
        <v/>
      </c>
      <c r="AI46">
        <f>IF(AND($AB46=1,Processed_Data!C46="J."),Processed_Data!L46,0)</f>
        <v>0</v>
      </c>
      <c r="AJ46">
        <f>IF(AND($AB46=1,Processed_Data!C46="Maria.B"),Processed_Data!L46,0)</f>
        <v>0</v>
      </c>
      <c r="AK46">
        <f>IF(AND($AB46=1,Processed_Data!C46="Sana Safinaz"),Processed_Data!L46,0)</f>
        <v>0</v>
      </c>
    </row>
    <row r="47" spans="21:37">
      <c r="U47" s="4">
        <f>IF(AND($AB47=1,Processed_Data!C47="J."),Processed_Data!J47,NA())</f>
        <v>10990</v>
      </c>
      <c r="V47" s="8">
        <f>IF(AND($AB47=1,Processed_Data!C47="J."),Processed_Data!L47/100,NA())</f>
        <v>0</v>
      </c>
      <c r="W47" s="4" t="e">
        <f>IF(AND($AB47=1,Processed_Data!C47="Maria.B"),Processed_Data!J47,NA())</f>
        <v>#N/A</v>
      </c>
      <c r="X47" s="8" t="e">
        <f>IF(AND($AB47=1,Processed_Data!C47="Maria.B"),Processed_Data!L47/100,NA())</f>
        <v>#N/A</v>
      </c>
      <c r="Y47" s="4" t="e">
        <f>IF(AND($AB47=1,Processed_Data!C47="Sana Safinaz"),Processed_Data!J47,NA())</f>
        <v>#N/A</v>
      </c>
      <c r="Z47" s="8" t="e">
        <f>IF(AND($AB47=1,Processed_Data!C47="Sana Safinaz"),Processed_Data!L47/100,NA())</f>
        <v>#N/A</v>
      </c>
      <c r="AB47">
        <f>--AND(OR($B$2="All",Processed_Data!C47=$B$2),OR($B$3="All",Processed_Data!F47=$B$3),OR($B$4="All",Processed_Data!G47=$B$4),OR($B$5="All",Processed_Data!H47=$B$5),OR($B$6="All",Processed_Data!R47=$B$6),OR($B$7="All",Processed_Data!N47=$B$7))</f>
        <v>1</v>
      </c>
      <c r="AC47">
        <f>IF($AB47=1,Processed_Data!J47,"")</f>
        <v>10990</v>
      </c>
      <c r="AD47">
        <f>IF($AB47=1,Processed_Data!L47,0)</f>
        <v>0</v>
      </c>
      <c r="AE47">
        <f>IF($AB47=1,--(Processed_Data!M47="On Sale"),0)</f>
        <v>0</v>
      </c>
      <c r="AF47">
        <f>IF(AND($AB47=1,Processed_Data!C47="J."),Processed_Data!J47,"")</f>
        <v>10990</v>
      </c>
      <c r="AG47" t="str">
        <f>IF(AND($AB47=1,Processed_Data!C47="Maria.B"),Processed_Data!J47,"")</f>
        <v/>
      </c>
      <c r="AH47" t="str">
        <f>IF(AND($AB47=1,Processed_Data!C47="Sana Safinaz"),Processed_Data!J47,"")</f>
        <v/>
      </c>
      <c r="AI47">
        <f>IF(AND($AB47=1,Processed_Data!C47="J."),Processed_Data!L47,0)</f>
        <v>0</v>
      </c>
      <c r="AJ47">
        <f>IF(AND($AB47=1,Processed_Data!C47="Maria.B"),Processed_Data!L47,0)</f>
        <v>0</v>
      </c>
      <c r="AK47">
        <f>IF(AND($AB47=1,Processed_Data!C47="Sana Safinaz"),Processed_Data!L47,0)</f>
        <v>0</v>
      </c>
    </row>
    <row r="48" spans="21:37">
      <c r="U48" s="4">
        <f>IF(AND($AB48=1,Processed_Data!C48="J."),Processed_Data!J48,NA())</f>
        <v>10990</v>
      </c>
      <c r="V48" s="8">
        <f>IF(AND($AB48=1,Processed_Data!C48="J."),Processed_Data!L48/100,NA())</f>
        <v>0</v>
      </c>
      <c r="W48" s="4" t="e">
        <f>IF(AND($AB48=1,Processed_Data!C48="Maria.B"),Processed_Data!J48,NA())</f>
        <v>#N/A</v>
      </c>
      <c r="X48" s="8" t="e">
        <f>IF(AND($AB48=1,Processed_Data!C48="Maria.B"),Processed_Data!L48/100,NA())</f>
        <v>#N/A</v>
      </c>
      <c r="Y48" s="4" t="e">
        <f>IF(AND($AB48=1,Processed_Data!C48="Sana Safinaz"),Processed_Data!J48,NA())</f>
        <v>#N/A</v>
      </c>
      <c r="Z48" s="8" t="e">
        <f>IF(AND($AB48=1,Processed_Data!C48="Sana Safinaz"),Processed_Data!L48/100,NA())</f>
        <v>#N/A</v>
      </c>
      <c r="AB48">
        <f>--AND(OR($B$2="All",Processed_Data!C48=$B$2),OR($B$3="All",Processed_Data!F48=$B$3),OR($B$4="All",Processed_Data!G48=$B$4),OR($B$5="All",Processed_Data!H48=$B$5),OR($B$6="All",Processed_Data!R48=$B$6),OR($B$7="All",Processed_Data!N48=$B$7))</f>
        <v>1</v>
      </c>
      <c r="AC48">
        <f>IF($AB48=1,Processed_Data!J48,"")</f>
        <v>10990</v>
      </c>
      <c r="AD48">
        <f>IF($AB48=1,Processed_Data!L48,0)</f>
        <v>0</v>
      </c>
      <c r="AE48">
        <f>IF($AB48=1,--(Processed_Data!M48="On Sale"),0)</f>
        <v>0</v>
      </c>
      <c r="AF48">
        <f>IF(AND($AB48=1,Processed_Data!C48="J."),Processed_Data!J48,"")</f>
        <v>10990</v>
      </c>
      <c r="AG48" t="str">
        <f>IF(AND($AB48=1,Processed_Data!C48="Maria.B"),Processed_Data!J48,"")</f>
        <v/>
      </c>
      <c r="AH48" t="str">
        <f>IF(AND($AB48=1,Processed_Data!C48="Sana Safinaz"),Processed_Data!J48,"")</f>
        <v/>
      </c>
      <c r="AI48">
        <f>IF(AND($AB48=1,Processed_Data!C48="J."),Processed_Data!L48,0)</f>
        <v>0</v>
      </c>
      <c r="AJ48">
        <f>IF(AND($AB48=1,Processed_Data!C48="Maria.B"),Processed_Data!L48,0)</f>
        <v>0</v>
      </c>
      <c r="AK48">
        <f>IF(AND($AB48=1,Processed_Data!C48="Sana Safinaz"),Processed_Data!L48,0)</f>
        <v>0</v>
      </c>
    </row>
    <row r="49" spans="21:37">
      <c r="U49" s="4">
        <f>IF(AND($AB49=1,Processed_Data!C49="J."),Processed_Data!J49,NA())</f>
        <v>10990</v>
      </c>
      <c r="V49" s="8">
        <f>IF(AND($AB49=1,Processed_Data!C49="J."),Processed_Data!L49/100,NA())</f>
        <v>0</v>
      </c>
      <c r="W49" s="4" t="e">
        <f>IF(AND($AB49=1,Processed_Data!C49="Maria.B"),Processed_Data!J49,NA())</f>
        <v>#N/A</v>
      </c>
      <c r="X49" s="8" t="e">
        <f>IF(AND($AB49=1,Processed_Data!C49="Maria.B"),Processed_Data!L49/100,NA())</f>
        <v>#N/A</v>
      </c>
      <c r="Y49" s="4" t="e">
        <f>IF(AND($AB49=1,Processed_Data!C49="Sana Safinaz"),Processed_Data!J49,NA())</f>
        <v>#N/A</v>
      </c>
      <c r="Z49" s="8" t="e">
        <f>IF(AND($AB49=1,Processed_Data!C49="Sana Safinaz"),Processed_Data!L49/100,NA())</f>
        <v>#N/A</v>
      </c>
      <c r="AB49">
        <f>--AND(OR($B$2="All",Processed_Data!C49=$B$2),OR($B$3="All",Processed_Data!F49=$B$3),OR($B$4="All",Processed_Data!G49=$B$4),OR($B$5="All",Processed_Data!H49=$B$5),OR($B$6="All",Processed_Data!R49=$B$6),OR($B$7="All",Processed_Data!N49=$B$7))</f>
        <v>1</v>
      </c>
      <c r="AC49">
        <f>IF($AB49=1,Processed_Data!J49,"")</f>
        <v>10990</v>
      </c>
      <c r="AD49">
        <f>IF($AB49=1,Processed_Data!L49,0)</f>
        <v>0</v>
      </c>
      <c r="AE49">
        <f>IF($AB49=1,--(Processed_Data!M49="On Sale"),0)</f>
        <v>0</v>
      </c>
      <c r="AF49">
        <f>IF(AND($AB49=1,Processed_Data!C49="J."),Processed_Data!J49,"")</f>
        <v>10990</v>
      </c>
      <c r="AG49" t="str">
        <f>IF(AND($AB49=1,Processed_Data!C49="Maria.B"),Processed_Data!J49,"")</f>
        <v/>
      </c>
      <c r="AH49" t="str">
        <f>IF(AND($AB49=1,Processed_Data!C49="Sana Safinaz"),Processed_Data!J49,"")</f>
        <v/>
      </c>
      <c r="AI49">
        <f>IF(AND($AB49=1,Processed_Data!C49="J."),Processed_Data!L49,0)</f>
        <v>0</v>
      </c>
      <c r="AJ49">
        <f>IF(AND($AB49=1,Processed_Data!C49="Maria.B"),Processed_Data!L49,0)</f>
        <v>0</v>
      </c>
      <c r="AK49">
        <f>IF(AND($AB49=1,Processed_Data!C49="Sana Safinaz"),Processed_Data!L49,0)</f>
        <v>0</v>
      </c>
    </row>
    <row r="50" spans="21:37">
      <c r="U50" s="4">
        <f>IF(AND($AB50=1,Processed_Data!C50="J."),Processed_Data!J50,NA())</f>
        <v>10990</v>
      </c>
      <c r="V50" s="8">
        <f>IF(AND($AB50=1,Processed_Data!C50="J."),Processed_Data!L50/100,NA())</f>
        <v>0</v>
      </c>
      <c r="W50" s="4" t="e">
        <f>IF(AND($AB50=1,Processed_Data!C50="Maria.B"),Processed_Data!J50,NA())</f>
        <v>#N/A</v>
      </c>
      <c r="X50" s="8" t="e">
        <f>IF(AND($AB50=1,Processed_Data!C50="Maria.B"),Processed_Data!L50/100,NA())</f>
        <v>#N/A</v>
      </c>
      <c r="Y50" s="4" t="e">
        <f>IF(AND($AB50=1,Processed_Data!C50="Sana Safinaz"),Processed_Data!J50,NA())</f>
        <v>#N/A</v>
      </c>
      <c r="Z50" s="8" t="e">
        <f>IF(AND($AB50=1,Processed_Data!C50="Sana Safinaz"),Processed_Data!L50/100,NA())</f>
        <v>#N/A</v>
      </c>
      <c r="AB50">
        <f>--AND(OR($B$2="All",Processed_Data!C50=$B$2),OR($B$3="All",Processed_Data!F50=$B$3),OR($B$4="All",Processed_Data!G50=$B$4),OR($B$5="All",Processed_Data!H50=$B$5),OR($B$6="All",Processed_Data!R50=$B$6),OR($B$7="All",Processed_Data!N50=$B$7))</f>
        <v>1</v>
      </c>
      <c r="AC50">
        <f>IF($AB50=1,Processed_Data!J50,"")</f>
        <v>10990</v>
      </c>
      <c r="AD50">
        <f>IF($AB50=1,Processed_Data!L50,0)</f>
        <v>0</v>
      </c>
      <c r="AE50">
        <f>IF($AB50=1,--(Processed_Data!M50="On Sale"),0)</f>
        <v>0</v>
      </c>
      <c r="AF50">
        <f>IF(AND($AB50=1,Processed_Data!C50="J."),Processed_Data!J50,"")</f>
        <v>10990</v>
      </c>
      <c r="AG50" t="str">
        <f>IF(AND($AB50=1,Processed_Data!C50="Maria.B"),Processed_Data!J50,"")</f>
        <v/>
      </c>
      <c r="AH50" t="str">
        <f>IF(AND($AB50=1,Processed_Data!C50="Sana Safinaz"),Processed_Data!J50,"")</f>
        <v/>
      </c>
      <c r="AI50">
        <f>IF(AND($AB50=1,Processed_Data!C50="J."),Processed_Data!L50,0)</f>
        <v>0</v>
      </c>
      <c r="AJ50">
        <f>IF(AND($AB50=1,Processed_Data!C50="Maria.B"),Processed_Data!L50,0)</f>
        <v>0</v>
      </c>
      <c r="AK50">
        <f>IF(AND($AB50=1,Processed_Data!C50="Sana Safinaz"),Processed_Data!L50,0)</f>
        <v>0</v>
      </c>
    </row>
    <row r="51" spans="21:37">
      <c r="U51" s="4">
        <f>IF(AND($AB51=1,Processed_Data!C51="J."),Processed_Data!J51,NA())</f>
        <v>10990</v>
      </c>
      <c r="V51" s="8">
        <f>IF(AND($AB51=1,Processed_Data!C51="J."),Processed_Data!L51/100,NA())</f>
        <v>0</v>
      </c>
      <c r="W51" s="4" t="e">
        <f>IF(AND($AB51=1,Processed_Data!C51="Maria.B"),Processed_Data!J51,NA())</f>
        <v>#N/A</v>
      </c>
      <c r="X51" s="8" t="e">
        <f>IF(AND($AB51=1,Processed_Data!C51="Maria.B"),Processed_Data!L51/100,NA())</f>
        <v>#N/A</v>
      </c>
      <c r="Y51" s="4" t="e">
        <f>IF(AND($AB51=1,Processed_Data!C51="Sana Safinaz"),Processed_Data!J51,NA())</f>
        <v>#N/A</v>
      </c>
      <c r="Z51" s="8" t="e">
        <f>IF(AND($AB51=1,Processed_Data!C51="Sana Safinaz"),Processed_Data!L51/100,NA())</f>
        <v>#N/A</v>
      </c>
      <c r="AB51">
        <f>--AND(OR($B$2="All",Processed_Data!C51=$B$2),OR($B$3="All",Processed_Data!F51=$B$3),OR($B$4="All",Processed_Data!G51=$B$4),OR($B$5="All",Processed_Data!H51=$B$5),OR($B$6="All",Processed_Data!R51=$B$6),OR($B$7="All",Processed_Data!N51=$B$7))</f>
        <v>1</v>
      </c>
      <c r="AC51">
        <f>IF($AB51=1,Processed_Data!J51,"")</f>
        <v>10990</v>
      </c>
      <c r="AD51">
        <f>IF($AB51=1,Processed_Data!L51,0)</f>
        <v>0</v>
      </c>
      <c r="AE51">
        <f>IF($AB51=1,--(Processed_Data!M51="On Sale"),0)</f>
        <v>0</v>
      </c>
      <c r="AF51">
        <f>IF(AND($AB51=1,Processed_Data!C51="J."),Processed_Data!J51,"")</f>
        <v>10990</v>
      </c>
      <c r="AG51" t="str">
        <f>IF(AND($AB51=1,Processed_Data!C51="Maria.B"),Processed_Data!J51,"")</f>
        <v/>
      </c>
      <c r="AH51" t="str">
        <f>IF(AND($AB51=1,Processed_Data!C51="Sana Safinaz"),Processed_Data!J51,"")</f>
        <v/>
      </c>
      <c r="AI51">
        <f>IF(AND($AB51=1,Processed_Data!C51="J."),Processed_Data!L51,0)</f>
        <v>0</v>
      </c>
      <c r="AJ51">
        <f>IF(AND($AB51=1,Processed_Data!C51="Maria.B"),Processed_Data!L51,0)</f>
        <v>0</v>
      </c>
      <c r="AK51">
        <f>IF(AND($AB51=1,Processed_Data!C51="Sana Safinaz"),Processed_Data!L51,0)</f>
        <v>0</v>
      </c>
    </row>
    <row r="52" spans="21:37">
      <c r="U52" s="4">
        <f>IF(AND($AB52=1,Processed_Data!C52="J."),Processed_Data!J52,NA())</f>
        <v>10990</v>
      </c>
      <c r="V52" s="8">
        <f>IF(AND($AB52=1,Processed_Data!C52="J."),Processed_Data!L52/100,NA())</f>
        <v>0</v>
      </c>
      <c r="W52" s="4" t="e">
        <f>IF(AND($AB52=1,Processed_Data!C52="Maria.B"),Processed_Data!J52,NA())</f>
        <v>#N/A</v>
      </c>
      <c r="X52" s="8" t="e">
        <f>IF(AND($AB52=1,Processed_Data!C52="Maria.B"),Processed_Data!L52/100,NA())</f>
        <v>#N/A</v>
      </c>
      <c r="Y52" s="4" t="e">
        <f>IF(AND($AB52=1,Processed_Data!C52="Sana Safinaz"),Processed_Data!J52,NA())</f>
        <v>#N/A</v>
      </c>
      <c r="Z52" s="8" t="e">
        <f>IF(AND($AB52=1,Processed_Data!C52="Sana Safinaz"),Processed_Data!L52/100,NA())</f>
        <v>#N/A</v>
      </c>
      <c r="AB52">
        <f>--AND(OR($B$2="All",Processed_Data!C52=$B$2),OR($B$3="All",Processed_Data!F52=$B$3),OR($B$4="All",Processed_Data!G52=$B$4),OR($B$5="All",Processed_Data!H52=$B$5),OR($B$6="All",Processed_Data!R52=$B$6),OR($B$7="All",Processed_Data!N52=$B$7))</f>
        <v>1</v>
      </c>
      <c r="AC52">
        <f>IF($AB52=1,Processed_Data!J52,"")</f>
        <v>10990</v>
      </c>
      <c r="AD52">
        <f>IF($AB52=1,Processed_Data!L52,0)</f>
        <v>0</v>
      </c>
      <c r="AE52">
        <f>IF($AB52=1,--(Processed_Data!M52="On Sale"),0)</f>
        <v>0</v>
      </c>
      <c r="AF52">
        <f>IF(AND($AB52=1,Processed_Data!C52="J."),Processed_Data!J52,"")</f>
        <v>10990</v>
      </c>
      <c r="AG52" t="str">
        <f>IF(AND($AB52=1,Processed_Data!C52="Maria.B"),Processed_Data!J52,"")</f>
        <v/>
      </c>
      <c r="AH52" t="str">
        <f>IF(AND($AB52=1,Processed_Data!C52="Sana Safinaz"),Processed_Data!J52,"")</f>
        <v/>
      </c>
      <c r="AI52">
        <f>IF(AND($AB52=1,Processed_Data!C52="J."),Processed_Data!L52,0)</f>
        <v>0</v>
      </c>
      <c r="AJ52">
        <f>IF(AND($AB52=1,Processed_Data!C52="Maria.B"),Processed_Data!L52,0)</f>
        <v>0</v>
      </c>
      <c r="AK52">
        <f>IF(AND($AB52=1,Processed_Data!C52="Sana Safinaz"),Processed_Data!L52,0)</f>
        <v>0</v>
      </c>
    </row>
    <row r="53" spans="21:37">
      <c r="U53" s="4">
        <f>IF(AND($AB53=1,Processed_Data!C53="J."),Processed_Data!J53,NA())</f>
        <v>9990</v>
      </c>
      <c r="V53" s="8">
        <f>IF(AND($AB53=1,Processed_Data!C53="J."),Processed_Data!L53/100,NA())</f>
        <v>0</v>
      </c>
      <c r="W53" s="4" t="e">
        <f>IF(AND($AB53=1,Processed_Data!C53="Maria.B"),Processed_Data!J53,NA())</f>
        <v>#N/A</v>
      </c>
      <c r="X53" s="8" t="e">
        <f>IF(AND($AB53=1,Processed_Data!C53="Maria.B"),Processed_Data!L53/100,NA())</f>
        <v>#N/A</v>
      </c>
      <c r="Y53" s="4" t="e">
        <f>IF(AND($AB53=1,Processed_Data!C53="Sana Safinaz"),Processed_Data!J53,NA())</f>
        <v>#N/A</v>
      </c>
      <c r="Z53" s="8" t="e">
        <f>IF(AND($AB53=1,Processed_Data!C53="Sana Safinaz"),Processed_Data!L53/100,NA())</f>
        <v>#N/A</v>
      </c>
      <c r="AB53">
        <f>--AND(OR($B$2="All",Processed_Data!C53=$B$2),OR($B$3="All",Processed_Data!F53=$B$3),OR($B$4="All",Processed_Data!G53=$B$4),OR($B$5="All",Processed_Data!H53=$B$5),OR($B$6="All",Processed_Data!R53=$B$6),OR($B$7="All",Processed_Data!N53=$B$7))</f>
        <v>1</v>
      </c>
      <c r="AC53">
        <f>IF($AB53=1,Processed_Data!J53,"")</f>
        <v>9990</v>
      </c>
      <c r="AD53">
        <f>IF($AB53=1,Processed_Data!L53,0)</f>
        <v>0</v>
      </c>
      <c r="AE53">
        <f>IF($AB53=1,--(Processed_Data!M53="On Sale"),0)</f>
        <v>0</v>
      </c>
      <c r="AF53">
        <f>IF(AND($AB53=1,Processed_Data!C53="J."),Processed_Data!J53,"")</f>
        <v>9990</v>
      </c>
      <c r="AG53" t="str">
        <f>IF(AND($AB53=1,Processed_Data!C53="Maria.B"),Processed_Data!J53,"")</f>
        <v/>
      </c>
      <c r="AH53" t="str">
        <f>IF(AND($AB53=1,Processed_Data!C53="Sana Safinaz"),Processed_Data!J53,"")</f>
        <v/>
      </c>
      <c r="AI53">
        <f>IF(AND($AB53=1,Processed_Data!C53="J."),Processed_Data!L53,0)</f>
        <v>0</v>
      </c>
      <c r="AJ53">
        <f>IF(AND($AB53=1,Processed_Data!C53="Maria.B"),Processed_Data!L53,0)</f>
        <v>0</v>
      </c>
      <c r="AK53">
        <f>IF(AND($AB53=1,Processed_Data!C53="Sana Safinaz"),Processed_Data!L53,0)</f>
        <v>0</v>
      </c>
    </row>
    <row r="54" spans="21:37">
      <c r="U54" s="4">
        <f>IF(AND($AB54=1,Processed_Data!C54="J."),Processed_Data!J54,NA())</f>
        <v>10990</v>
      </c>
      <c r="V54" s="8">
        <f>IF(AND($AB54=1,Processed_Data!C54="J."),Processed_Data!L54/100,NA())</f>
        <v>0</v>
      </c>
      <c r="W54" s="4" t="e">
        <f>IF(AND($AB54=1,Processed_Data!C54="Maria.B"),Processed_Data!J54,NA())</f>
        <v>#N/A</v>
      </c>
      <c r="X54" s="8" t="e">
        <f>IF(AND($AB54=1,Processed_Data!C54="Maria.B"),Processed_Data!L54/100,NA())</f>
        <v>#N/A</v>
      </c>
      <c r="Y54" s="4" t="e">
        <f>IF(AND($AB54=1,Processed_Data!C54="Sana Safinaz"),Processed_Data!J54,NA())</f>
        <v>#N/A</v>
      </c>
      <c r="Z54" s="8" t="e">
        <f>IF(AND($AB54=1,Processed_Data!C54="Sana Safinaz"),Processed_Data!L54/100,NA())</f>
        <v>#N/A</v>
      </c>
      <c r="AB54">
        <f>--AND(OR($B$2="All",Processed_Data!C54=$B$2),OR($B$3="All",Processed_Data!F54=$B$3),OR($B$4="All",Processed_Data!G54=$B$4),OR($B$5="All",Processed_Data!H54=$B$5),OR($B$6="All",Processed_Data!R54=$B$6),OR($B$7="All",Processed_Data!N54=$B$7))</f>
        <v>1</v>
      </c>
      <c r="AC54">
        <f>IF($AB54=1,Processed_Data!J54,"")</f>
        <v>10990</v>
      </c>
      <c r="AD54">
        <f>IF($AB54=1,Processed_Data!L54,0)</f>
        <v>0</v>
      </c>
      <c r="AE54">
        <f>IF($AB54=1,--(Processed_Data!M54="On Sale"),0)</f>
        <v>0</v>
      </c>
      <c r="AF54">
        <f>IF(AND($AB54=1,Processed_Data!C54="J."),Processed_Data!J54,"")</f>
        <v>10990</v>
      </c>
      <c r="AG54" t="str">
        <f>IF(AND($AB54=1,Processed_Data!C54="Maria.B"),Processed_Data!J54,"")</f>
        <v/>
      </c>
      <c r="AH54" t="str">
        <f>IF(AND($AB54=1,Processed_Data!C54="Sana Safinaz"),Processed_Data!J54,"")</f>
        <v/>
      </c>
      <c r="AI54">
        <f>IF(AND($AB54=1,Processed_Data!C54="J."),Processed_Data!L54,0)</f>
        <v>0</v>
      </c>
      <c r="AJ54">
        <f>IF(AND($AB54=1,Processed_Data!C54="Maria.B"),Processed_Data!L54,0)</f>
        <v>0</v>
      </c>
      <c r="AK54">
        <f>IF(AND($AB54=1,Processed_Data!C54="Sana Safinaz"),Processed_Data!L54,0)</f>
        <v>0</v>
      </c>
    </row>
    <row r="55" spans="21:37">
      <c r="U55" s="4">
        <f>IF(AND($AB55=1,Processed_Data!C55="J."),Processed_Data!J55,NA())</f>
        <v>10990</v>
      </c>
      <c r="V55" s="8">
        <f>IF(AND($AB55=1,Processed_Data!C55="J."),Processed_Data!L55/100,NA())</f>
        <v>0</v>
      </c>
      <c r="W55" s="4" t="e">
        <f>IF(AND($AB55=1,Processed_Data!C55="Maria.B"),Processed_Data!J55,NA())</f>
        <v>#N/A</v>
      </c>
      <c r="X55" s="8" t="e">
        <f>IF(AND($AB55=1,Processed_Data!C55="Maria.B"),Processed_Data!L55/100,NA())</f>
        <v>#N/A</v>
      </c>
      <c r="Y55" s="4" t="e">
        <f>IF(AND($AB55=1,Processed_Data!C55="Sana Safinaz"),Processed_Data!J55,NA())</f>
        <v>#N/A</v>
      </c>
      <c r="Z55" s="8" t="e">
        <f>IF(AND($AB55=1,Processed_Data!C55="Sana Safinaz"),Processed_Data!L55/100,NA())</f>
        <v>#N/A</v>
      </c>
      <c r="AB55">
        <f>--AND(OR($B$2="All",Processed_Data!C55=$B$2),OR($B$3="All",Processed_Data!F55=$B$3),OR($B$4="All",Processed_Data!G55=$B$4),OR($B$5="All",Processed_Data!H55=$B$5),OR($B$6="All",Processed_Data!R55=$B$6),OR($B$7="All",Processed_Data!N55=$B$7))</f>
        <v>1</v>
      </c>
      <c r="AC55">
        <f>IF($AB55=1,Processed_Data!J55,"")</f>
        <v>10990</v>
      </c>
      <c r="AD55">
        <f>IF($AB55=1,Processed_Data!L55,0)</f>
        <v>0</v>
      </c>
      <c r="AE55">
        <f>IF($AB55=1,--(Processed_Data!M55="On Sale"),0)</f>
        <v>0</v>
      </c>
      <c r="AF55">
        <f>IF(AND($AB55=1,Processed_Data!C55="J."),Processed_Data!J55,"")</f>
        <v>10990</v>
      </c>
      <c r="AG55" t="str">
        <f>IF(AND($AB55=1,Processed_Data!C55="Maria.B"),Processed_Data!J55,"")</f>
        <v/>
      </c>
      <c r="AH55" t="str">
        <f>IF(AND($AB55=1,Processed_Data!C55="Sana Safinaz"),Processed_Data!J55,"")</f>
        <v/>
      </c>
      <c r="AI55">
        <f>IF(AND($AB55=1,Processed_Data!C55="J."),Processed_Data!L55,0)</f>
        <v>0</v>
      </c>
      <c r="AJ55">
        <f>IF(AND($AB55=1,Processed_Data!C55="Maria.B"),Processed_Data!L55,0)</f>
        <v>0</v>
      </c>
      <c r="AK55">
        <f>IF(AND($AB55=1,Processed_Data!C55="Sana Safinaz"),Processed_Data!L55,0)</f>
        <v>0</v>
      </c>
    </row>
    <row r="56" spans="21:37">
      <c r="U56" s="4">
        <f>IF(AND($AB56=1,Processed_Data!C56="J."),Processed_Data!J56,NA())</f>
        <v>11490</v>
      </c>
      <c r="V56" s="8">
        <f>IF(AND($AB56=1,Processed_Data!C56="J."),Processed_Data!L56/100,NA())</f>
        <v>0</v>
      </c>
      <c r="W56" s="4" t="e">
        <f>IF(AND($AB56=1,Processed_Data!C56="Maria.B"),Processed_Data!J56,NA())</f>
        <v>#N/A</v>
      </c>
      <c r="X56" s="8" t="e">
        <f>IF(AND($AB56=1,Processed_Data!C56="Maria.B"),Processed_Data!L56/100,NA())</f>
        <v>#N/A</v>
      </c>
      <c r="Y56" s="4" t="e">
        <f>IF(AND($AB56=1,Processed_Data!C56="Sana Safinaz"),Processed_Data!J56,NA())</f>
        <v>#N/A</v>
      </c>
      <c r="Z56" s="8" t="e">
        <f>IF(AND($AB56=1,Processed_Data!C56="Sana Safinaz"),Processed_Data!L56/100,NA())</f>
        <v>#N/A</v>
      </c>
      <c r="AB56">
        <f>--AND(OR($B$2="All",Processed_Data!C56=$B$2),OR($B$3="All",Processed_Data!F56=$B$3),OR($B$4="All",Processed_Data!G56=$B$4),OR($B$5="All",Processed_Data!H56=$B$5),OR($B$6="All",Processed_Data!R56=$B$6),OR($B$7="All",Processed_Data!N56=$B$7))</f>
        <v>1</v>
      </c>
      <c r="AC56">
        <f>IF($AB56=1,Processed_Data!J56,"")</f>
        <v>11490</v>
      </c>
      <c r="AD56">
        <f>IF($AB56=1,Processed_Data!L56,0)</f>
        <v>0</v>
      </c>
      <c r="AE56">
        <f>IF($AB56=1,--(Processed_Data!M56="On Sale"),0)</f>
        <v>0</v>
      </c>
      <c r="AF56">
        <f>IF(AND($AB56=1,Processed_Data!C56="J."),Processed_Data!J56,"")</f>
        <v>11490</v>
      </c>
      <c r="AG56" t="str">
        <f>IF(AND($AB56=1,Processed_Data!C56="Maria.B"),Processed_Data!J56,"")</f>
        <v/>
      </c>
      <c r="AH56" t="str">
        <f>IF(AND($AB56=1,Processed_Data!C56="Sana Safinaz"),Processed_Data!J56,"")</f>
        <v/>
      </c>
      <c r="AI56">
        <f>IF(AND($AB56=1,Processed_Data!C56="J."),Processed_Data!L56,0)</f>
        <v>0</v>
      </c>
      <c r="AJ56">
        <f>IF(AND($AB56=1,Processed_Data!C56="Maria.B"),Processed_Data!L56,0)</f>
        <v>0</v>
      </c>
      <c r="AK56">
        <f>IF(AND($AB56=1,Processed_Data!C56="Sana Safinaz"),Processed_Data!L56,0)</f>
        <v>0</v>
      </c>
    </row>
    <row r="57" spans="21:37">
      <c r="U57" s="4">
        <f>IF(AND($AB57=1,Processed_Data!C57="J."),Processed_Data!J57,NA())</f>
        <v>9990</v>
      </c>
      <c r="V57" s="8">
        <f>IF(AND($AB57=1,Processed_Data!C57="J."),Processed_Data!L57/100,NA())</f>
        <v>0</v>
      </c>
      <c r="W57" s="4" t="e">
        <f>IF(AND($AB57=1,Processed_Data!C57="Maria.B"),Processed_Data!J57,NA())</f>
        <v>#N/A</v>
      </c>
      <c r="X57" s="8" t="e">
        <f>IF(AND($AB57=1,Processed_Data!C57="Maria.B"),Processed_Data!L57/100,NA())</f>
        <v>#N/A</v>
      </c>
      <c r="Y57" s="4" t="e">
        <f>IF(AND($AB57=1,Processed_Data!C57="Sana Safinaz"),Processed_Data!J57,NA())</f>
        <v>#N/A</v>
      </c>
      <c r="Z57" s="8" t="e">
        <f>IF(AND($AB57=1,Processed_Data!C57="Sana Safinaz"),Processed_Data!L57/100,NA())</f>
        <v>#N/A</v>
      </c>
      <c r="AB57">
        <f>--AND(OR($B$2="All",Processed_Data!C57=$B$2),OR($B$3="All",Processed_Data!F57=$B$3),OR($B$4="All",Processed_Data!G57=$B$4),OR($B$5="All",Processed_Data!H57=$B$5),OR($B$6="All",Processed_Data!R57=$B$6),OR($B$7="All",Processed_Data!N57=$B$7))</f>
        <v>1</v>
      </c>
      <c r="AC57">
        <f>IF($AB57=1,Processed_Data!J57,"")</f>
        <v>9990</v>
      </c>
      <c r="AD57">
        <f>IF($AB57=1,Processed_Data!L57,0)</f>
        <v>0</v>
      </c>
      <c r="AE57">
        <f>IF($AB57=1,--(Processed_Data!M57="On Sale"),0)</f>
        <v>0</v>
      </c>
      <c r="AF57">
        <f>IF(AND($AB57=1,Processed_Data!C57="J."),Processed_Data!J57,"")</f>
        <v>9990</v>
      </c>
      <c r="AG57" t="str">
        <f>IF(AND($AB57=1,Processed_Data!C57="Maria.B"),Processed_Data!J57,"")</f>
        <v/>
      </c>
      <c r="AH57" t="str">
        <f>IF(AND($AB57=1,Processed_Data!C57="Sana Safinaz"),Processed_Data!J57,"")</f>
        <v/>
      </c>
      <c r="AI57">
        <f>IF(AND($AB57=1,Processed_Data!C57="J."),Processed_Data!L57,0)</f>
        <v>0</v>
      </c>
      <c r="AJ57">
        <f>IF(AND($AB57=1,Processed_Data!C57="Maria.B"),Processed_Data!L57,0)</f>
        <v>0</v>
      </c>
      <c r="AK57">
        <f>IF(AND($AB57=1,Processed_Data!C57="Sana Safinaz"),Processed_Data!L57,0)</f>
        <v>0</v>
      </c>
    </row>
    <row r="58" spans="21:37">
      <c r="U58" s="4">
        <f>IF(AND($AB58=1,Processed_Data!C58="J."),Processed_Data!J58,NA())</f>
        <v>8990</v>
      </c>
      <c r="V58" s="8">
        <f>IF(AND($AB58=1,Processed_Data!C58="J."),Processed_Data!L58/100,NA())</f>
        <v>0</v>
      </c>
      <c r="W58" s="4" t="e">
        <f>IF(AND($AB58=1,Processed_Data!C58="Maria.B"),Processed_Data!J58,NA())</f>
        <v>#N/A</v>
      </c>
      <c r="X58" s="8" t="e">
        <f>IF(AND($AB58=1,Processed_Data!C58="Maria.B"),Processed_Data!L58/100,NA())</f>
        <v>#N/A</v>
      </c>
      <c r="Y58" s="4" t="e">
        <f>IF(AND($AB58=1,Processed_Data!C58="Sana Safinaz"),Processed_Data!J58,NA())</f>
        <v>#N/A</v>
      </c>
      <c r="Z58" s="8" t="e">
        <f>IF(AND($AB58=1,Processed_Data!C58="Sana Safinaz"),Processed_Data!L58/100,NA())</f>
        <v>#N/A</v>
      </c>
      <c r="AB58">
        <f>--AND(OR($B$2="All",Processed_Data!C58=$B$2),OR($B$3="All",Processed_Data!F58=$B$3),OR($B$4="All",Processed_Data!G58=$B$4),OR($B$5="All",Processed_Data!H58=$B$5),OR($B$6="All",Processed_Data!R58=$B$6),OR($B$7="All",Processed_Data!N58=$B$7))</f>
        <v>1</v>
      </c>
      <c r="AC58">
        <f>IF($AB58=1,Processed_Data!J58,"")</f>
        <v>8990</v>
      </c>
      <c r="AD58">
        <f>IF($AB58=1,Processed_Data!L58,0)</f>
        <v>0</v>
      </c>
      <c r="AE58">
        <f>IF($AB58=1,--(Processed_Data!M58="On Sale"),0)</f>
        <v>0</v>
      </c>
      <c r="AF58">
        <f>IF(AND($AB58=1,Processed_Data!C58="J."),Processed_Data!J58,"")</f>
        <v>8990</v>
      </c>
      <c r="AG58" t="str">
        <f>IF(AND($AB58=1,Processed_Data!C58="Maria.B"),Processed_Data!J58,"")</f>
        <v/>
      </c>
      <c r="AH58" t="str">
        <f>IF(AND($AB58=1,Processed_Data!C58="Sana Safinaz"),Processed_Data!J58,"")</f>
        <v/>
      </c>
      <c r="AI58">
        <f>IF(AND($AB58=1,Processed_Data!C58="J."),Processed_Data!L58,0)</f>
        <v>0</v>
      </c>
      <c r="AJ58">
        <f>IF(AND($AB58=1,Processed_Data!C58="Maria.B"),Processed_Data!L58,0)</f>
        <v>0</v>
      </c>
      <c r="AK58">
        <f>IF(AND($AB58=1,Processed_Data!C58="Sana Safinaz"),Processed_Data!L58,0)</f>
        <v>0</v>
      </c>
    </row>
    <row r="59" spans="21:37">
      <c r="U59" s="4">
        <f>IF(AND($AB59=1,Processed_Data!C59="J."),Processed_Data!J59,NA())</f>
        <v>9990</v>
      </c>
      <c r="V59" s="8">
        <f>IF(AND($AB59=1,Processed_Data!C59="J."),Processed_Data!L59/100,NA())</f>
        <v>0</v>
      </c>
      <c r="W59" s="4" t="e">
        <f>IF(AND($AB59=1,Processed_Data!C59="Maria.B"),Processed_Data!J59,NA())</f>
        <v>#N/A</v>
      </c>
      <c r="X59" s="8" t="e">
        <f>IF(AND($AB59=1,Processed_Data!C59="Maria.B"),Processed_Data!L59/100,NA())</f>
        <v>#N/A</v>
      </c>
      <c r="Y59" s="4" t="e">
        <f>IF(AND($AB59=1,Processed_Data!C59="Sana Safinaz"),Processed_Data!J59,NA())</f>
        <v>#N/A</v>
      </c>
      <c r="Z59" s="8" t="e">
        <f>IF(AND($AB59=1,Processed_Data!C59="Sana Safinaz"),Processed_Data!L59/100,NA())</f>
        <v>#N/A</v>
      </c>
      <c r="AB59">
        <f>--AND(OR($B$2="All",Processed_Data!C59=$B$2),OR($B$3="All",Processed_Data!F59=$B$3),OR($B$4="All",Processed_Data!G59=$B$4),OR($B$5="All",Processed_Data!H59=$B$5),OR($B$6="All",Processed_Data!R59=$B$6),OR($B$7="All",Processed_Data!N59=$B$7))</f>
        <v>1</v>
      </c>
      <c r="AC59">
        <f>IF($AB59=1,Processed_Data!J59,"")</f>
        <v>9990</v>
      </c>
      <c r="AD59">
        <f>IF($AB59=1,Processed_Data!L59,0)</f>
        <v>0</v>
      </c>
      <c r="AE59">
        <f>IF($AB59=1,--(Processed_Data!M59="On Sale"),0)</f>
        <v>0</v>
      </c>
      <c r="AF59">
        <f>IF(AND($AB59=1,Processed_Data!C59="J."),Processed_Data!J59,"")</f>
        <v>9990</v>
      </c>
      <c r="AG59" t="str">
        <f>IF(AND($AB59=1,Processed_Data!C59="Maria.B"),Processed_Data!J59,"")</f>
        <v/>
      </c>
      <c r="AH59" t="str">
        <f>IF(AND($AB59=1,Processed_Data!C59="Sana Safinaz"),Processed_Data!J59,"")</f>
        <v/>
      </c>
      <c r="AI59">
        <f>IF(AND($AB59=1,Processed_Data!C59="J."),Processed_Data!L59,0)</f>
        <v>0</v>
      </c>
      <c r="AJ59">
        <f>IF(AND($AB59=1,Processed_Data!C59="Maria.B"),Processed_Data!L59,0)</f>
        <v>0</v>
      </c>
      <c r="AK59">
        <f>IF(AND($AB59=1,Processed_Data!C59="Sana Safinaz"),Processed_Data!L59,0)</f>
        <v>0</v>
      </c>
    </row>
    <row r="60" spans="21:37">
      <c r="U60" s="4">
        <f>IF(AND($AB60=1,Processed_Data!C60="J."),Processed_Data!J60,NA())</f>
        <v>11490</v>
      </c>
      <c r="V60" s="8">
        <f>IF(AND($AB60=1,Processed_Data!C60="J."),Processed_Data!L60/100,NA())</f>
        <v>0</v>
      </c>
      <c r="W60" s="4" t="e">
        <f>IF(AND($AB60=1,Processed_Data!C60="Maria.B"),Processed_Data!J60,NA())</f>
        <v>#N/A</v>
      </c>
      <c r="X60" s="8" t="e">
        <f>IF(AND($AB60=1,Processed_Data!C60="Maria.B"),Processed_Data!L60/100,NA())</f>
        <v>#N/A</v>
      </c>
      <c r="Y60" s="4" t="e">
        <f>IF(AND($AB60=1,Processed_Data!C60="Sana Safinaz"),Processed_Data!J60,NA())</f>
        <v>#N/A</v>
      </c>
      <c r="Z60" s="8" t="e">
        <f>IF(AND($AB60=1,Processed_Data!C60="Sana Safinaz"),Processed_Data!L60/100,NA())</f>
        <v>#N/A</v>
      </c>
      <c r="AB60">
        <f>--AND(OR($B$2="All",Processed_Data!C60=$B$2),OR($B$3="All",Processed_Data!F60=$B$3),OR($B$4="All",Processed_Data!G60=$B$4),OR($B$5="All",Processed_Data!H60=$B$5),OR($B$6="All",Processed_Data!R60=$B$6),OR($B$7="All",Processed_Data!N60=$B$7))</f>
        <v>1</v>
      </c>
      <c r="AC60">
        <f>IF($AB60=1,Processed_Data!J60,"")</f>
        <v>11490</v>
      </c>
      <c r="AD60">
        <f>IF($AB60=1,Processed_Data!L60,0)</f>
        <v>0</v>
      </c>
      <c r="AE60">
        <f>IF($AB60=1,--(Processed_Data!M60="On Sale"),0)</f>
        <v>0</v>
      </c>
      <c r="AF60">
        <f>IF(AND($AB60=1,Processed_Data!C60="J."),Processed_Data!J60,"")</f>
        <v>11490</v>
      </c>
      <c r="AG60" t="str">
        <f>IF(AND($AB60=1,Processed_Data!C60="Maria.B"),Processed_Data!J60,"")</f>
        <v/>
      </c>
      <c r="AH60" t="str">
        <f>IF(AND($AB60=1,Processed_Data!C60="Sana Safinaz"),Processed_Data!J60,"")</f>
        <v/>
      </c>
      <c r="AI60">
        <f>IF(AND($AB60=1,Processed_Data!C60="J."),Processed_Data!L60,0)</f>
        <v>0</v>
      </c>
      <c r="AJ60">
        <f>IF(AND($AB60=1,Processed_Data!C60="Maria.B"),Processed_Data!L60,0)</f>
        <v>0</v>
      </c>
      <c r="AK60">
        <f>IF(AND($AB60=1,Processed_Data!C60="Sana Safinaz"),Processed_Data!L60,0)</f>
        <v>0</v>
      </c>
    </row>
    <row r="61" spans="21:37">
      <c r="U61" s="4">
        <f>IF(AND($AB61=1,Processed_Data!C61="J."),Processed_Data!J61,NA())</f>
        <v>9990</v>
      </c>
      <c r="V61" s="8">
        <f>IF(AND($AB61=1,Processed_Data!C61="J."),Processed_Data!L61/100,NA())</f>
        <v>0</v>
      </c>
      <c r="W61" s="4" t="e">
        <f>IF(AND($AB61=1,Processed_Data!C61="Maria.B"),Processed_Data!J61,NA())</f>
        <v>#N/A</v>
      </c>
      <c r="X61" s="8" t="e">
        <f>IF(AND($AB61=1,Processed_Data!C61="Maria.B"),Processed_Data!L61/100,NA())</f>
        <v>#N/A</v>
      </c>
      <c r="Y61" s="4" t="e">
        <f>IF(AND($AB61=1,Processed_Data!C61="Sana Safinaz"),Processed_Data!J61,NA())</f>
        <v>#N/A</v>
      </c>
      <c r="Z61" s="8" t="e">
        <f>IF(AND($AB61=1,Processed_Data!C61="Sana Safinaz"),Processed_Data!L61/100,NA())</f>
        <v>#N/A</v>
      </c>
      <c r="AB61">
        <f>--AND(OR($B$2="All",Processed_Data!C61=$B$2),OR($B$3="All",Processed_Data!F61=$B$3),OR($B$4="All",Processed_Data!G61=$B$4),OR($B$5="All",Processed_Data!H61=$B$5),OR($B$6="All",Processed_Data!R61=$B$6),OR($B$7="All",Processed_Data!N61=$B$7))</f>
        <v>1</v>
      </c>
      <c r="AC61">
        <f>IF($AB61=1,Processed_Data!J61,"")</f>
        <v>9990</v>
      </c>
      <c r="AD61">
        <f>IF($AB61=1,Processed_Data!L61,0)</f>
        <v>0</v>
      </c>
      <c r="AE61">
        <f>IF($AB61=1,--(Processed_Data!M61="On Sale"),0)</f>
        <v>0</v>
      </c>
      <c r="AF61">
        <f>IF(AND($AB61=1,Processed_Data!C61="J."),Processed_Data!J61,"")</f>
        <v>9990</v>
      </c>
      <c r="AG61" t="str">
        <f>IF(AND($AB61=1,Processed_Data!C61="Maria.B"),Processed_Data!J61,"")</f>
        <v/>
      </c>
      <c r="AH61" t="str">
        <f>IF(AND($AB61=1,Processed_Data!C61="Sana Safinaz"),Processed_Data!J61,"")</f>
        <v/>
      </c>
      <c r="AI61">
        <f>IF(AND($AB61=1,Processed_Data!C61="J."),Processed_Data!L61,0)</f>
        <v>0</v>
      </c>
      <c r="AJ61">
        <f>IF(AND($AB61=1,Processed_Data!C61="Maria.B"),Processed_Data!L61,0)</f>
        <v>0</v>
      </c>
      <c r="AK61">
        <f>IF(AND($AB61=1,Processed_Data!C61="Sana Safinaz"),Processed_Data!L61,0)</f>
        <v>0</v>
      </c>
    </row>
    <row r="62" spans="21:37">
      <c r="U62" s="4">
        <f>IF(AND($AB62=1,Processed_Data!C62="J."),Processed_Data!J62,NA())</f>
        <v>11490</v>
      </c>
      <c r="V62" s="8">
        <f>IF(AND($AB62=1,Processed_Data!C62="J."),Processed_Data!L62/100,NA())</f>
        <v>0</v>
      </c>
      <c r="W62" s="4" t="e">
        <f>IF(AND($AB62=1,Processed_Data!C62="Maria.B"),Processed_Data!J62,NA())</f>
        <v>#N/A</v>
      </c>
      <c r="X62" s="8" t="e">
        <f>IF(AND($AB62=1,Processed_Data!C62="Maria.B"),Processed_Data!L62/100,NA())</f>
        <v>#N/A</v>
      </c>
      <c r="Y62" s="4" t="e">
        <f>IF(AND($AB62=1,Processed_Data!C62="Sana Safinaz"),Processed_Data!J62,NA())</f>
        <v>#N/A</v>
      </c>
      <c r="Z62" s="8" t="e">
        <f>IF(AND($AB62=1,Processed_Data!C62="Sana Safinaz"),Processed_Data!L62/100,NA())</f>
        <v>#N/A</v>
      </c>
      <c r="AB62">
        <f>--AND(OR($B$2="All",Processed_Data!C62=$B$2),OR($B$3="All",Processed_Data!F62=$B$3),OR($B$4="All",Processed_Data!G62=$B$4),OR($B$5="All",Processed_Data!H62=$B$5),OR($B$6="All",Processed_Data!R62=$B$6),OR($B$7="All",Processed_Data!N62=$B$7))</f>
        <v>1</v>
      </c>
      <c r="AC62">
        <f>IF($AB62=1,Processed_Data!J62,"")</f>
        <v>11490</v>
      </c>
      <c r="AD62">
        <f>IF($AB62=1,Processed_Data!L62,0)</f>
        <v>0</v>
      </c>
      <c r="AE62">
        <f>IF($AB62=1,--(Processed_Data!M62="On Sale"),0)</f>
        <v>0</v>
      </c>
      <c r="AF62">
        <f>IF(AND($AB62=1,Processed_Data!C62="J."),Processed_Data!J62,"")</f>
        <v>11490</v>
      </c>
      <c r="AG62" t="str">
        <f>IF(AND($AB62=1,Processed_Data!C62="Maria.B"),Processed_Data!J62,"")</f>
        <v/>
      </c>
      <c r="AH62" t="str">
        <f>IF(AND($AB62=1,Processed_Data!C62="Sana Safinaz"),Processed_Data!J62,"")</f>
        <v/>
      </c>
      <c r="AI62">
        <f>IF(AND($AB62=1,Processed_Data!C62="J."),Processed_Data!L62,0)</f>
        <v>0</v>
      </c>
      <c r="AJ62">
        <f>IF(AND($AB62=1,Processed_Data!C62="Maria.B"),Processed_Data!L62,0)</f>
        <v>0</v>
      </c>
      <c r="AK62">
        <f>IF(AND($AB62=1,Processed_Data!C62="Sana Safinaz"),Processed_Data!L62,0)</f>
        <v>0</v>
      </c>
    </row>
    <row r="63" spans="21:37">
      <c r="U63" s="4">
        <f>IF(AND($AB63=1,Processed_Data!C63="J."),Processed_Data!J63,NA())</f>
        <v>9990</v>
      </c>
      <c r="V63" s="8">
        <f>IF(AND($AB63=1,Processed_Data!C63="J."),Processed_Data!L63/100,NA())</f>
        <v>0</v>
      </c>
      <c r="W63" s="4" t="e">
        <f>IF(AND($AB63=1,Processed_Data!C63="Maria.B"),Processed_Data!J63,NA())</f>
        <v>#N/A</v>
      </c>
      <c r="X63" s="8" t="e">
        <f>IF(AND($AB63=1,Processed_Data!C63="Maria.B"),Processed_Data!L63/100,NA())</f>
        <v>#N/A</v>
      </c>
      <c r="Y63" s="4" t="e">
        <f>IF(AND($AB63=1,Processed_Data!C63="Sana Safinaz"),Processed_Data!J63,NA())</f>
        <v>#N/A</v>
      </c>
      <c r="Z63" s="8" t="e">
        <f>IF(AND($AB63=1,Processed_Data!C63="Sana Safinaz"),Processed_Data!L63/100,NA())</f>
        <v>#N/A</v>
      </c>
      <c r="AB63">
        <f>--AND(OR($B$2="All",Processed_Data!C63=$B$2),OR($B$3="All",Processed_Data!F63=$B$3),OR($B$4="All",Processed_Data!G63=$B$4),OR($B$5="All",Processed_Data!H63=$B$5),OR($B$6="All",Processed_Data!R63=$B$6),OR($B$7="All",Processed_Data!N63=$B$7))</f>
        <v>1</v>
      </c>
      <c r="AC63">
        <f>IF($AB63=1,Processed_Data!J63,"")</f>
        <v>9990</v>
      </c>
      <c r="AD63">
        <f>IF($AB63=1,Processed_Data!L63,0)</f>
        <v>0</v>
      </c>
      <c r="AE63">
        <f>IF($AB63=1,--(Processed_Data!M63="On Sale"),0)</f>
        <v>0</v>
      </c>
      <c r="AF63">
        <f>IF(AND($AB63=1,Processed_Data!C63="J."),Processed_Data!J63,"")</f>
        <v>9990</v>
      </c>
      <c r="AG63" t="str">
        <f>IF(AND($AB63=1,Processed_Data!C63="Maria.B"),Processed_Data!J63,"")</f>
        <v/>
      </c>
      <c r="AH63" t="str">
        <f>IF(AND($AB63=1,Processed_Data!C63="Sana Safinaz"),Processed_Data!J63,"")</f>
        <v/>
      </c>
      <c r="AI63">
        <f>IF(AND($AB63=1,Processed_Data!C63="J."),Processed_Data!L63,0)</f>
        <v>0</v>
      </c>
      <c r="AJ63">
        <f>IF(AND($AB63=1,Processed_Data!C63="Maria.B"),Processed_Data!L63,0)</f>
        <v>0</v>
      </c>
      <c r="AK63">
        <f>IF(AND($AB63=1,Processed_Data!C63="Sana Safinaz"),Processed_Data!L63,0)</f>
        <v>0</v>
      </c>
    </row>
    <row r="64" spans="21:37">
      <c r="U64" s="4">
        <f>IF(AND($AB64=1,Processed_Data!C64="J."),Processed_Data!J64,NA())</f>
        <v>9990</v>
      </c>
      <c r="V64" s="8">
        <f>IF(AND($AB64=1,Processed_Data!C64="J."),Processed_Data!L64/100,NA())</f>
        <v>0</v>
      </c>
      <c r="W64" s="4" t="e">
        <f>IF(AND($AB64=1,Processed_Data!C64="Maria.B"),Processed_Data!J64,NA())</f>
        <v>#N/A</v>
      </c>
      <c r="X64" s="8" t="e">
        <f>IF(AND($AB64=1,Processed_Data!C64="Maria.B"),Processed_Data!L64/100,NA())</f>
        <v>#N/A</v>
      </c>
      <c r="Y64" s="4" t="e">
        <f>IF(AND($AB64=1,Processed_Data!C64="Sana Safinaz"),Processed_Data!J64,NA())</f>
        <v>#N/A</v>
      </c>
      <c r="Z64" s="8" t="e">
        <f>IF(AND($AB64=1,Processed_Data!C64="Sana Safinaz"),Processed_Data!L64/100,NA())</f>
        <v>#N/A</v>
      </c>
      <c r="AB64">
        <f>--AND(OR($B$2="All",Processed_Data!C64=$B$2),OR($B$3="All",Processed_Data!F64=$B$3),OR($B$4="All",Processed_Data!G64=$B$4),OR($B$5="All",Processed_Data!H64=$B$5),OR($B$6="All",Processed_Data!R64=$B$6),OR($B$7="All",Processed_Data!N64=$B$7))</f>
        <v>1</v>
      </c>
      <c r="AC64">
        <f>IF($AB64=1,Processed_Data!J64,"")</f>
        <v>9990</v>
      </c>
      <c r="AD64">
        <f>IF($AB64=1,Processed_Data!L64,0)</f>
        <v>0</v>
      </c>
      <c r="AE64">
        <f>IF($AB64=1,--(Processed_Data!M64="On Sale"),0)</f>
        <v>0</v>
      </c>
      <c r="AF64">
        <f>IF(AND($AB64=1,Processed_Data!C64="J."),Processed_Data!J64,"")</f>
        <v>9990</v>
      </c>
      <c r="AG64" t="str">
        <f>IF(AND($AB64=1,Processed_Data!C64="Maria.B"),Processed_Data!J64,"")</f>
        <v/>
      </c>
      <c r="AH64" t="str">
        <f>IF(AND($AB64=1,Processed_Data!C64="Sana Safinaz"),Processed_Data!J64,"")</f>
        <v/>
      </c>
      <c r="AI64">
        <f>IF(AND($AB64=1,Processed_Data!C64="J."),Processed_Data!L64,0)</f>
        <v>0</v>
      </c>
      <c r="AJ64">
        <f>IF(AND($AB64=1,Processed_Data!C64="Maria.B"),Processed_Data!L64,0)</f>
        <v>0</v>
      </c>
      <c r="AK64">
        <f>IF(AND($AB64=1,Processed_Data!C64="Sana Safinaz"),Processed_Data!L64,0)</f>
        <v>0</v>
      </c>
    </row>
    <row r="65" spans="21:37">
      <c r="U65" s="4">
        <f>IF(AND($AB65=1,Processed_Data!C65="J."),Processed_Data!J65,NA())</f>
        <v>6490</v>
      </c>
      <c r="V65" s="8">
        <f>IF(AND($AB65=1,Processed_Data!C65="J."),Processed_Data!L65/100,NA())</f>
        <v>0</v>
      </c>
      <c r="W65" s="4" t="e">
        <f>IF(AND($AB65=1,Processed_Data!C65="Maria.B"),Processed_Data!J65,NA())</f>
        <v>#N/A</v>
      </c>
      <c r="X65" s="8" t="e">
        <f>IF(AND($AB65=1,Processed_Data!C65="Maria.B"),Processed_Data!L65/100,NA())</f>
        <v>#N/A</v>
      </c>
      <c r="Y65" s="4" t="e">
        <f>IF(AND($AB65=1,Processed_Data!C65="Sana Safinaz"),Processed_Data!J65,NA())</f>
        <v>#N/A</v>
      </c>
      <c r="Z65" s="8" t="e">
        <f>IF(AND($AB65=1,Processed_Data!C65="Sana Safinaz"),Processed_Data!L65/100,NA())</f>
        <v>#N/A</v>
      </c>
      <c r="AB65">
        <f>--AND(OR($B$2="All",Processed_Data!C65=$B$2),OR($B$3="All",Processed_Data!F65=$B$3),OR($B$4="All",Processed_Data!G65=$B$4),OR($B$5="All",Processed_Data!H65=$B$5),OR($B$6="All",Processed_Data!R65=$B$6),OR($B$7="All",Processed_Data!N65=$B$7))</f>
        <v>1</v>
      </c>
      <c r="AC65">
        <f>IF($AB65=1,Processed_Data!J65,"")</f>
        <v>6490</v>
      </c>
      <c r="AD65">
        <f>IF($AB65=1,Processed_Data!L65,0)</f>
        <v>0</v>
      </c>
      <c r="AE65">
        <f>IF($AB65=1,--(Processed_Data!M65="On Sale"),0)</f>
        <v>0</v>
      </c>
      <c r="AF65">
        <f>IF(AND($AB65=1,Processed_Data!C65="J."),Processed_Data!J65,"")</f>
        <v>6490</v>
      </c>
      <c r="AG65" t="str">
        <f>IF(AND($AB65=1,Processed_Data!C65="Maria.B"),Processed_Data!J65,"")</f>
        <v/>
      </c>
      <c r="AH65" t="str">
        <f>IF(AND($AB65=1,Processed_Data!C65="Sana Safinaz"),Processed_Data!J65,"")</f>
        <v/>
      </c>
      <c r="AI65">
        <f>IF(AND($AB65=1,Processed_Data!C65="J."),Processed_Data!L65,0)</f>
        <v>0</v>
      </c>
      <c r="AJ65">
        <f>IF(AND($AB65=1,Processed_Data!C65="Maria.B"),Processed_Data!L65,0)</f>
        <v>0</v>
      </c>
      <c r="AK65">
        <f>IF(AND($AB65=1,Processed_Data!C65="Sana Safinaz"),Processed_Data!L65,0)</f>
        <v>0</v>
      </c>
    </row>
    <row r="66" spans="21:37">
      <c r="U66" s="4">
        <f>IF(AND($AB66=1,Processed_Data!C66="J."),Processed_Data!J66,NA())</f>
        <v>6990</v>
      </c>
      <c r="V66" s="8">
        <f>IF(AND($AB66=1,Processed_Data!C66="J."),Processed_Data!L66/100,NA())</f>
        <v>0</v>
      </c>
      <c r="W66" s="4" t="e">
        <f>IF(AND($AB66=1,Processed_Data!C66="Maria.B"),Processed_Data!J66,NA())</f>
        <v>#N/A</v>
      </c>
      <c r="X66" s="8" t="e">
        <f>IF(AND($AB66=1,Processed_Data!C66="Maria.B"),Processed_Data!L66/100,NA())</f>
        <v>#N/A</v>
      </c>
      <c r="Y66" s="4" t="e">
        <f>IF(AND($AB66=1,Processed_Data!C66="Sana Safinaz"),Processed_Data!J66,NA())</f>
        <v>#N/A</v>
      </c>
      <c r="Z66" s="8" t="e">
        <f>IF(AND($AB66=1,Processed_Data!C66="Sana Safinaz"),Processed_Data!L66/100,NA())</f>
        <v>#N/A</v>
      </c>
      <c r="AB66">
        <f>--AND(OR($B$2="All",Processed_Data!C66=$B$2),OR($B$3="All",Processed_Data!F66=$B$3),OR($B$4="All",Processed_Data!G66=$B$4),OR($B$5="All",Processed_Data!H66=$B$5),OR($B$6="All",Processed_Data!R66=$B$6),OR($B$7="All",Processed_Data!N66=$B$7))</f>
        <v>1</v>
      </c>
      <c r="AC66">
        <f>IF($AB66=1,Processed_Data!J66,"")</f>
        <v>6990</v>
      </c>
      <c r="AD66">
        <f>IF($AB66=1,Processed_Data!L66,0)</f>
        <v>0</v>
      </c>
      <c r="AE66">
        <f>IF($AB66=1,--(Processed_Data!M66="On Sale"),0)</f>
        <v>0</v>
      </c>
      <c r="AF66">
        <f>IF(AND($AB66=1,Processed_Data!C66="J."),Processed_Data!J66,"")</f>
        <v>6990</v>
      </c>
      <c r="AG66" t="str">
        <f>IF(AND($AB66=1,Processed_Data!C66="Maria.B"),Processed_Data!J66,"")</f>
        <v/>
      </c>
      <c r="AH66" t="str">
        <f>IF(AND($AB66=1,Processed_Data!C66="Sana Safinaz"),Processed_Data!J66,"")</f>
        <v/>
      </c>
      <c r="AI66">
        <f>IF(AND($AB66=1,Processed_Data!C66="J."),Processed_Data!L66,0)</f>
        <v>0</v>
      </c>
      <c r="AJ66">
        <f>IF(AND($AB66=1,Processed_Data!C66="Maria.B"),Processed_Data!L66,0)</f>
        <v>0</v>
      </c>
      <c r="AK66">
        <f>IF(AND($AB66=1,Processed_Data!C66="Sana Safinaz"),Processed_Data!L66,0)</f>
        <v>0</v>
      </c>
    </row>
    <row r="67" spans="21:37">
      <c r="U67" s="4">
        <f>IF(AND($AB67=1,Processed_Data!C67="J."),Processed_Data!J67,NA())</f>
        <v>6990</v>
      </c>
      <c r="V67" s="8">
        <f>IF(AND($AB67=1,Processed_Data!C67="J."),Processed_Data!L67/100,NA())</f>
        <v>0</v>
      </c>
      <c r="W67" s="4" t="e">
        <f>IF(AND($AB67=1,Processed_Data!C67="Maria.B"),Processed_Data!J67,NA())</f>
        <v>#N/A</v>
      </c>
      <c r="X67" s="8" t="e">
        <f>IF(AND($AB67=1,Processed_Data!C67="Maria.B"),Processed_Data!L67/100,NA())</f>
        <v>#N/A</v>
      </c>
      <c r="Y67" s="4" t="e">
        <f>IF(AND($AB67=1,Processed_Data!C67="Sana Safinaz"),Processed_Data!J67,NA())</f>
        <v>#N/A</v>
      </c>
      <c r="Z67" s="8" t="e">
        <f>IF(AND($AB67=1,Processed_Data!C67="Sana Safinaz"),Processed_Data!L67/100,NA())</f>
        <v>#N/A</v>
      </c>
      <c r="AB67">
        <f>--AND(OR($B$2="All",Processed_Data!C67=$B$2),OR($B$3="All",Processed_Data!F67=$B$3),OR($B$4="All",Processed_Data!G67=$B$4),OR($B$5="All",Processed_Data!H67=$B$5),OR($B$6="All",Processed_Data!R67=$B$6),OR($B$7="All",Processed_Data!N67=$B$7))</f>
        <v>1</v>
      </c>
      <c r="AC67">
        <f>IF($AB67=1,Processed_Data!J67,"")</f>
        <v>6990</v>
      </c>
      <c r="AD67">
        <f>IF($AB67=1,Processed_Data!L67,0)</f>
        <v>0</v>
      </c>
      <c r="AE67">
        <f>IF($AB67=1,--(Processed_Data!M67="On Sale"),0)</f>
        <v>0</v>
      </c>
      <c r="AF67">
        <f>IF(AND($AB67=1,Processed_Data!C67="J."),Processed_Data!J67,"")</f>
        <v>6990</v>
      </c>
      <c r="AG67" t="str">
        <f>IF(AND($AB67=1,Processed_Data!C67="Maria.B"),Processed_Data!J67,"")</f>
        <v/>
      </c>
      <c r="AH67" t="str">
        <f>IF(AND($AB67=1,Processed_Data!C67="Sana Safinaz"),Processed_Data!J67,"")</f>
        <v/>
      </c>
      <c r="AI67">
        <f>IF(AND($AB67=1,Processed_Data!C67="J."),Processed_Data!L67,0)</f>
        <v>0</v>
      </c>
      <c r="AJ67">
        <f>IF(AND($AB67=1,Processed_Data!C67="Maria.B"),Processed_Data!L67,0)</f>
        <v>0</v>
      </c>
      <c r="AK67">
        <f>IF(AND($AB67=1,Processed_Data!C67="Sana Safinaz"),Processed_Data!L67,0)</f>
        <v>0</v>
      </c>
    </row>
    <row r="68" spans="21:37">
      <c r="U68" s="4">
        <f>IF(AND($AB68=1,Processed_Data!C68="J."),Processed_Data!J68,NA())</f>
        <v>29990</v>
      </c>
      <c r="V68" s="8">
        <f>IF(AND($AB68=1,Processed_Data!C68="J."),Processed_Data!L68/100,NA())</f>
        <v>0</v>
      </c>
      <c r="W68" s="4" t="e">
        <f>IF(AND($AB68=1,Processed_Data!C68="Maria.B"),Processed_Data!J68,NA())</f>
        <v>#N/A</v>
      </c>
      <c r="X68" s="8" t="e">
        <f>IF(AND($AB68=1,Processed_Data!C68="Maria.B"),Processed_Data!L68/100,NA())</f>
        <v>#N/A</v>
      </c>
      <c r="Y68" s="4" t="e">
        <f>IF(AND($AB68=1,Processed_Data!C68="Sana Safinaz"),Processed_Data!J68,NA())</f>
        <v>#N/A</v>
      </c>
      <c r="Z68" s="8" t="e">
        <f>IF(AND($AB68=1,Processed_Data!C68="Sana Safinaz"),Processed_Data!L68/100,NA())</f>
        <v>#N/A</v>
      </c>
      <c r="AB68">
        <f>--AND(OR($B$2="All",Processed_Data!C68=$B$2),OR($B$3="All",Processed_Data!F68=$B$3),OR($B$4="All",Processed_Data!G68=$B$4),OR($B$5="All",Processed_Data!H68=$B$5),OR($B$6="All",Processed_Data!R68=$B$6),OR($B$7="All",Processed_Data!N68=$B$7))</f>
        <v>1</v>
      </c>
      <c r="AC68">
        <f>IF($AB68=1,Processed_Data!J68,"")</f>
        <v>29990</v>
      </c>
      <c r="AD68">
        <f>IF($AB68=1,Processed_Data!L68,0)</f>
        <v>0</v>
      </c>
      <c r="AE68">
        <f>IF($AB68=1,--(Processed_Data!M68="On Sale"),0)</f>
        <v>0</v>
      </c>
      <c r="AF68">
        <f>IF(AND($AB68=1,Processed_Data!C68="J."),Processed_Data!J68,"")</f>
        <v>29990</v>
      </c>
      <c r="AG68" t="str">
        <f>IF(AND($AB68=1,Processed_Data!C68="Maria.B"),Processed_Data!J68,"")</f>
        <v/>
      </c>
      <c r="AH68" t="str">
        <f>IF(AND($AB68=1,Processed_Data!C68="Sana Safinaz"),Processed_Data!J68,"")</f>
        <v/>
      </c>
      <c r="AI68">
        <f>IF(AND($AB68=1,Processed_Data!C68="J."),Processed_Data!L68,0)</f>
        <v>0</v>
      </c>
      <c r="AJ68">
        <f>IF(AND($AB68=1,Processed_Data!C68="Maria.B"),Processed_Data!L68,0)</f>
        <v>0</v>
      </c>
      <c r="AK68">
        <f>IF(AND($AB68=1,Processed_Data!C68="Sana Safinaz"),Processed_Data!L68,0)</f>
        <v>0</v>
      </c>
    </row>
    <row r="69" spans="21:37">
      <c r="U69" s="4">
        <f>IF(AND($AB69=1,Processed_Data!C69="J."),Processed_Data!J69,NA())</f>
        <v>18990</v>
      </c>
      <c r="V69" s="8">
        <f>IF(AND($AB69=1,Processed_Data!C69="J."),Processed_Data!L69/100,NA())</f>
        <v>0</v>
      </c>
      <c r="W69" s="4" t="e">
        <f>IF(AND($AB69=1,Processed_Data!C69="Maria.B"),Processed_Data!J69,NA())</f>
        <v>#N/A</v>
      </c>
      <c r="X69" s="8" t="e">
        <f>IF(AND($AB69=1,Processed_Data!C69="Maria.B"),Processed_Data!L69/100,NA())</f>
        <v>#N/A</v>
      </c>
      <c r="Y69" s="4" t="e">
        <f>IF(AND($AB69=1,Processed_Data!C69="Sana Safinaz"),Processed_Data!J69,NA())</f>
        <v>#N/A</v>
      </c>
      <c r="Z69" s="8" t="e">
        <f>IF(AND($AB69=1,Processed_Data!C69="Sana Safinaz"),Processed_Data!L69/100,NA())</f>
        <v>#N/A</v>
      </c>
      <c r="AB69">
        <f>--AND(OR($B$2="All",Processed_Data!C69=$B$2),OR($B$3="All",Processed_Data!F69=$B$3),OR($B$4="All",Processed_Data!G69=$B$4),OR($B$5="All",Processed_Data!H69=$B$5),OR($B$6="All",Processed_Data!R69=$B$6),OR($B$7="All",Processed_Data!N69=$B$7))</f>
        <v>1</v>
      </c>
      <c r="AC69">
        <f>IF($AB69=1,Processed_Data!J69,"")</f>
        <v>18990</v>
      </c>
      <c r="AD69">
        <f>IF($AB69=1,Processed_Data!L69,0)</f>
        <v>0</v>
      </c>
      <c r="AE69">
        <f>IF($AB69=1,--(Processed_Data!M69="On Sale"),0)</f>
        <v>0</v>
      </c>
      <c r="AF69">
        <f>IF(AND($AB69=1,Processed_Data!C69="J."),Processed_Data!J69,"")</f>
        <v>18990</v>
      </c>
      <c r="AG69" t="str">
        <f>IF(AND($AB69=1,Processed_Data!C69="Maria.B"),Processed_Data!J69,"")</f>
        <v/>
      </c>
      <c r="AH69" t="str">
        <f>IF(AND($AB69=1,Processed_Data!C69="Sana Safinaz"),Processed_Data!J69,"")</f>
        <v/>
      </c>
      <c r="AI69">
        <f>IF(AND($AB69=1,Processed_Data!C69="J."),Processed_Data!L69,0)</f>
        <v>0</v>
      </c>
      <c r="AJ69">
        <f>IF(AND($AB69=1,Processed_Data!C69="Maria.B"),Processed_Data!L69,0)</f>
        <v>0</v>
      </c>
      <c r="AK69">
        <f>IF(AND($AB69=1,Processed_Data!C69="Sana Safinaz"),Processed_Data!L69,0)</f>
        <v>0</v>
      </c>
    </row>
    <row r="70" spans="21:37">
      <c r="U70" s="4">
        <f>IF(AND($AB70=1,Processed_Data!C70="J."),Processed_Data!J70,NA())</f>
        <v>27990</v>
      </c>
      <c r="V70" s="8">
        <f>IF(AND($AB70=1,Processed_Data!C70="J."),Processed_Data!L70/100,NA())</f>
        <v>0</v>
      </c>
      <c r="W70" s="4" t="e">
        <f>IF(AND($AB70=1,Processed_Data!C70="Maria.B"),Processed_Data!J70,NA())</f>
        <v>#N/A</v>
      </c>
      <c r="X70" s="8" t="e">
        <f>IF(AND($AB70=1,Processed_Data!C70="Maria.B"),Processed_Data!L70/100,NA())</f>
        <v>#N/A</v>
      </c>
      <c r="Y70" s="4" t="e">
        <f>IF(AND($AB70=1,Processed_Data!C70="Sana Safinaz"),Processed_Data!J70,NA())</f>
        <v>#N/A</v>
      </c>
      <c r="Z70" s="8" t="e">
        <f>IF(AND($AB70=1,Processed_Data!C70="Sana Safinaz"),Processed_Data!L70/100,NA())</f>
        <v>#N/A</v>
      </c>
      <c r="AB70">
        <f>--AND(OR($B$2="All",Processed_Data!C70=$B$2),OR($B$3="All",Processed_Data!F70=$B$3),OR($B$4="All",Processed_Data!G70=$B$4),OR($B$5="All",Processed_Data!H70=$B$5),OR($B$6="All",Processed_Data!R70=$B$6),OR($B$7="All",Processed_Data!N70=$B$7))</f>
        <v>1</v>
      </c>
      <c r="AC70">
        <f>IF($AB70=1,Processed_Data!J70,"")</f>
        <v>27990</v>
      </c>
      <c r="AD70">
        <f>IF($AB70=1,Processed_Data!L70,0)</f>
        <v>0</v>
      </c>
      <c r="AE70">
        <f>IF($AB70=1,--(Processed_Data!M70="On Sale"),0)</f>
        <v>0</v>
      </c>
      <c r="AF70">
        <f>IF(AND($AB70=1,Processed_Data!C70="J."),Processed_Data!J70,"")</f>
        <v>27990</v>
      </c>
      <c r="AG70" t="str">
        <f>IF(AND($AB70=1,Processed_Data!C70="Maria.B"),Processed_Data!J70,"")</f>
        <v/>
      </c>
      <c r="AH70" t="str">
        <f>IF(AND($AB70=1,Processed_Data!C70="Sana Safinaz"),Processed_Data!J70,"")</f>
        <v/>
      </c>
      <c r="AI70">
        <f>IF(AND($AB70=1,Processed_Data!C70="J."),Processed_Data!L70,0)</f>
        <v>0</v>
      </c>
      <c r="AJ70">
        <f>IF(AND($AB70=1,Processed_Data!C70="Maria.B"),Processed_Data!L70,0)</f>
        <v>0</v>
      </c>
      <c r="AK70">
        <f>IF(AND($AB70=1,Processed_Data!C70="Sana Safinaz"),Processed_Data!L70,0)</f>
        <v>0</v>
      </c>
    </row>
    <row r="71" spans="21:37">
      <c r="U71" s="4">
        <f>IF(AND($AB71=1,Processed_Data!C71="J."),Processed_Data!J71,NA())</f>
        <v>12990</v>
      </c>
      <c r="V71" s="8">
        <f>IF(AND($AB71=1,Processed_Data!C71="J."),Processed_Data!L71/100,NA())</f>
        <v>0</v>
      </c>
      <c r="W71" s="4" t="e">
        <f>IF(AND($AB71=1,Processed_Data!C71="Maria.B"),Processed_Data!J71,NA())</f>
        <v>#N/A</v>
      </c>
      <c r="X71" s="8" t="e">
        <f>IF(AND($AB71=1,Processed_Data!C71="Maria.B"),Processed_Data!L71/100,NA())</f>
        <v>#N/A</v>
      </c>
      <c r="Y71" s="4" t="e">
        <f>IF(AND($AB71=1,Processed_Data!C71="Sana Safinaz"),Processed_Data!J71,NA())</f>
        <v>#N/A</v>
      </c>
      <c r="Z71" s="8" t="e">
        <f>IF(AND($AB71=1,Processed_Data!C71="Sana Safinaz"),Processed_Data!L71/100,NA())</f>
        <v>#N/A</v>
      </c>
      <c r="AB71">
        <f>--AND(OR($B$2="All",Processed_Data!C71=$B$2),OR($B$3="All",Processed_Data!F71=$B$3),OR($B$4="All",Processed_Data!G71=$B$4),OR($B$5="All",Processed_Data!H71=$B$5),OR($B$6="All",Processed_Data!R71=$B$6),OR($B$7="All",Processed_Data!N71=$B$7))</f>
        <v>1</v>
      </c>
      <c r="AC71">
        <f>IF($AB71=1,Processed_Data!J71,"")</f>
        <v>12990</v>
      </c>
      <c r="AD71">
        <f>IF($AB71=1,Processed_Data!L71,0)</f>
        <v>0</v>
      </c>
      <c r="AE71">
        <f>IF($AB71=1,--(Processed_Data!M71="On Sale"),0)</f>
        <v>0</v>
      </c>
      <c r="AF71">
        <f>IF(AND($AB71=1,Processed_Data!C71="J."),Processed_Data!J71,"")</f>
        <v>12990</v>
      </c>
      <c r="AG71" t="str">
        <f>IF(AND($AB71=1,Processed_Data!C71="Maria.B"),Processed_Data!J71,"")</f>
        <v/>
      </c>
      <c r="AH71" t="str">
        <f>IF(AND($AB71=1,Processed_Data!C71="Sana Safinaz"),Processed_Data!J71,"")</f>
        <v/>
      </c>
      <c r="AI71">
        <f>IF(AND($AB71=1,Processed_Data!C71="J."),Processed_Data!L71,0)</f>
        <v>0</v>
      </c>
      <c r="AJ71">
        <f>IF(AND($AB71=1,Processed_Data!C71="Maria.B"),Processed_Data!L71,0)</f>
        <v>0</v>
      </c>
      <c r="AK71">
        <f>IF(AND($AB71=1,Processed_Data!C71="Sana Safinaz"),Processed_Data!L71,0)</f>
        <v>0</v>
      </c>
    </row>
    <row r="72" spans="21:37">
      <c r="U72" s="4">
        <f>IF(AND($AB72=1,Processed_Data!C72="J."),Processed_Data!J72,NA())</f>
        <v>12990</v>
      </c>
      <c r="V72" s="8">
        <f>IF(AND($AB72=1,Processed_Data!C72="J."),Processed_Data!L72/100,NA())</f>
        <v>0</v>
      </c>
      <c r="W72" s="4" t="e">
        <f>IF(AND($AB72=1,Processed_Data!C72="Maria.B"),Processed_Data!J72,NA())</f>
        <v>#N/A</v>
      </c>
      <c r="X72" s="8" t="e">
        <f>IF(AND($AB72=1,Processed_Data!C72="Maria.B"),Processed_Data!L72/100,NA())</f>
        <v>#N/A</v>
      </c>
      <c r="Y72" s="4" t="e">
        <f>IF(AND($AB72=1,Processed_Data!C72="Sana Safinaz"),Processed_Data!J72,NA())</f>
        <v>#N/A</v>
      </c>
      <c r="Z72" s="8" t="e">
        <f>IF(AND($AB72=1,Processed_Data!C72="Sana Safinaz"),Processed_Data!L72/100,NA())</f>
        <v>#N/A</v>
      </c>
      <c r="AB72">
        <f>--AND(OR($B$2="All",Processed_Data!C72=$B$2),OR($B$3="All",Processed_Data!F72=$B$3),OR($B$4="All",Processed_Data!G72=$B$4),OR($B$5="All",Processed_Data!H72=$B$5),OR($B$6="All",Processed_Data!R72=$B$6),OR($B$7="All",Processed_Data!N72=$B$7))</f>
        <v>1</v>
      </c>
      <c r="AC72">
        <f>IF($AB72=1,Processed_Data!J72,"")</f>
        <v>12990</v>
      </c>
      <c r="AD72">
        <f>IF($AB72=1,Processed_Data!L72,0)</f>
        <v>0</v>
      </c>
      <c r="AE72">
        <f>IF($AB72=1,--(Processed_Data!M72="On Sale"),0)</f>
        <v>0</v>
      </c>
      <c r="AF72">
        <f>IF(AND($AB72=1,Processed_Data!C72="J."),Processed_Data!J72,"")</f>
        <v>12990</v>
      </c>
      <c r="AG72" t="str">
        <f>IF(AND($AB72=1,Processed_Data!C72="Maria.B"),Processed_Data!J72,"")</f>
        <v/>
      </c>
      <c r="AH72" t="str">
        <f>IF(AND($AB72=1,Processed_Data!C72="Sana Safinaz"),Processed_Data!J72,"")</f>
        <v/>
      </c>
      <c r="AI72">
        <f>IF(AND($AB72=1,Processed_Data!C72="J."),Processed_Data!L72,0)</f>
        <v>0</v>
      </c>
      <c r="AJ72">
        <f>IF(AND($AB72=1,Processed_Data!C72="Maria.B"),Processed_Data!L72,0)</f>
        <v>0</v>
      </c>
      <c r="AK72">
        <f>IF(AND($AB72=1,Processed_Data!C72="Sana Safinaz"),Processed_Data!L72,0)</f>
        <v>0</v>
      </c>
    </row>
    <row r="73" spans="21:37">
      <c r="U73" s="4">
        <f>IF(AND($AB73=1,Processed_Data!C73="J."),Processed_Data!J73,NA())</f>
        <v>19990</v>
      </c>
      <c r="V73" s="8">
        <f>IF(AND($AB73=1,Processed_Data!C73="J."),Processed_Data!L73/100,NA())</f>
        <v>0</v>
      </c>
      <c r="W73" s="4" t="e">
        <f>IF(AND($AB73=1,Processed_Data!C73="Maria.B"),Processed_Data!J73,NA())</f>
        <v>#N/A</v>
      </c>
      <c r="X73" s="8" t="e">
        <f>IF(AND($AB73=1,Processed_Data!C73="Maria.B"),Processed_Data!L73/100,NA())</f>
        <v>#N/A</v>
      </c>
      <c r="Y73" s="4" t="e">
        <f>IF(AND($AB73=1,Processed_Data!C73="Sana Safinaz"),Processed_Data!J73,NA())</f>
        <v>#N/A</v>
      </c>
      <c r="Z73" s="8" t="e">
        <f>IF(AND($AB73=1,Processed_Data!C73="Sana Safinaz"),Processed_Data!L73/100,NA())</f>
        <v>#N/A</v>
      </c>
      <c r="AB73">
        <f>--AND(OR($B$2="All",Processed_Data!C73=$B$2),OR($B$3="All",Processed_Data!F73=$B$3),OR($B$4="All",Processed_Data!G73=$B$4),OR($B$5="All",Processed_Data!H73=$B$5),OR($B$6="All",Processed_Data!R73=$B$6),OR($B$7="All",Processed_Data!N73=$B$7))</f>
        <v>1</v>
      </c>
      <c r="AC73">
        <f>IF($AB73=1,Processed_Data!J73,"")</f>
        <v>19990</v>
      </c>
      <c r="AD73">
        <f>IF($AB73=1,Processed_Data!L73,0)</f>
        <v>0</v>
      </c>
      <c r="AE73">
        <f>IF($AB73=1,--(Processed_Data!M73="On Sale"),0)</f>
        <v>0</v>
      </c>
      <c r="AF73">
        <f>IF(AND($AB73=1,Processed_Data!C73="J."),Processed_Data!J73,"")</f>
        <v>19990</v>
      </c>
      <c r="AG73" t="str">
        <f>IF(AND($AB73=1,Processed_Data!C73="Maria.B"),Processed_Data!J73,"")</f>
        <v/>
      </c>
      <c r="AH73" t="str">
        <f>IF(AND($AB73=1,Processed_Data!C73="Sana Safinaz"),Processed_Data!J73,"")</f>
        <v/>
      </c>
      <c r="AI73">
        <f>IF(AND($AB73=1,Processed_Data!C73="J."),Processed_Data!L73,0)</f>
        <v>0</v>
      </c>
      <c r="AJ73">
        <f>IF(AND($AB73=1,Processed_Data!C73="Maria.B"),Processed_Data!L73,0)</f>
        <v>0</v>
      </c>
      <c r="AK73">
        <f>IF(AND($AB73=1,Processed_Data!C73="Sana Safinaz"),Processed_Data!L73,0)</f>
        <v>0</v>
      </c>
    </row>
    <row r="74" spans="21:37">
      <c r="U74" s="4">
        <f>IF(AND($AB74=1,Processed_Data!C74="J."),Processed_Data!J74,NA())</f>
        <v>12990</v>
      </c>
      <c r="V74" s="8">
        <f>IF(AND($AB74=1,Processed_Data!C74="J."),Processed_Data!L74/100,NA())</f>
        <v>0</v>
      </c>
      <c r="W74" s="4" t="e">
        <f>IF(AND($AB74=1,Processed_Data!C74="Maria.B"),Processed_Data!J74,NA())</f>
        <v>#N/A</v>
      </c>
      <c r="X74" s="8" t="e">
        <f>IF(AND($AB74=1,Processed_Data!C74="Maria.B"),Processed_Data!L74/100,NA())</f>
        <v>#N/A</v>
      </c>
      <c r="Y74" s="4" t="e">
        <f>IF(AND($AB74=1,Processed_Data!C74="Sana Safinaz"),Processed_Data!J74,NA())</f>
        <v>#N/A</v>
      </c>
      <c r="Z74" s="8" t="e">
        <f>IF(AND($AB74=1,Processed_Data!C74="Sana Safinaz"),Processed_Data!L74/100,NA())</f>
        <v>#N/A</v>
      </c>
      <c r="AB74">
        <f>--AND(OR($B$2="All",Processed_Data!C74=$B$2),OR($B$3="All",Processed_Data!F74=$B$3),OR($B$4="All",Processed_Data!G74=$B$4),OR($B$5="All",Processed_Data!H74=$B$5),OR($B$6="All",Processed_Data!R74=$B$6),OR($B$7="All",Processed_Data!N74=$B$7))</f>
        <v>1</v>
      </c>
      <c r="AC74">
        <f>IF($AB74=1,Processed_Data!J74,"")</f>
        <v>12990</v>
      </c>
      <c r="AD74">
        <f>IF($AB74=1,Processed_Data!L74,0)</f>
        <v>0</v>
      </c>
      <c r="AE74">
        <f>IF($AB74=1,--(Processed_Data!M74="On Sale"),0)</f>
        <v>0</v>
      </c>
      <c r="AF74">
        <f>IF(AND($AB74=1,Processed_Data!C74="J."),Processed_Data!J74,"")</f>
        <v>12990</v>
      </c>
      <c r="AG74" t="str">
        <f>IF(AND($AB74=1,Processed_Data!C74="Maria.B"),Processed_Data!J74,"")</f>
        <v/>
      </c>
      <c r="AH74" t="str">
        <f>IF(AND($AB74=1,Processed_Data!C74="Sana Safinaz"),Processed_Data!J74,"")</f>
        <v/>
      </c>
      <c r="AI74">
        <f>IF(AND($AB74=1,Processed_Data!C74="J."),Processed_Data!L74,0)</f>
        <v>0</v>
      </c>
      <c r="AJ74">
        <f>IF(AND($AB74=1,Processed_Data!C74="Maria.B"),Processed_Data!L74,0)</f>
        <v>0</v>
      </c>
      <c r="AK74">
        <f>IF(AND($AB74=1,Processed_Data!C74="Sana Safinaz"),Processed_Data!L74,0)</f>
        <v>0</v>
      </c>
    </row>
    <row r="75" spans="21:37">
      <c r="U75" s="4">
        <f>IF(AND($AB75=1,Processed_Data!C75="J."),Processed_Data!J75,NA())</f>
        <v>16990</v>
      </c>
      <c r="V75" s="8">
        <f>IF(AND($AB75=1,Processed_Data!C75="J."),Processed_Data!L75/100,NA())</f>
        <v>0</v>
      </c>
      <c r="W75" s="4" t="e">
        <f>IF(AND($AB75=1,Processed_Data!C75="Maria.B"),Processed_Data!J75,NA())</f>
        <v>#N/A</v>
      </c>
      <c r="X75" s="8" t="e">
        <f>IF(AND($AB75=1,Processed_Data!C75="Maria.B"),Processed_Data!L75/100,NA())</f>
        <v>#N/A</v>
      </c>
      <c r="Y75" s="4" t="e">
        <f>IF(AND($AB75=1,Processed_Data!C75="Sana Safinaz"),Processed_Data!J75,NA())</f>
        <v>#N/A</v>
      </c>
      <c r="Z75" s="8" t="e">
        <f>IF(AND($AB75=1,Processed_Data!C75="Sana Safinaz"),Processed_Data!L75/100,NA())</f>
        <v>#N/A</v>
      </c>
      <c r="AB75">
        <f>--AND(OR($B$2="All",Processed_Data!C75=$B$2),OR($B$3="All",Processed_Data!F75=$B$3),OR($B$4="All",Processed_Data!G75=$B$4),OR($B$5="All",Processed_Data!H75=$B$5),OR($B$6="All",Processed_Data!R75=$B$6),OR($B$7="All",Processed_Data!N75=$B$7))</f>
        <v>1</v>
      </c>
      <c r="AC75">
        <f>IF($AB75=1,Processed_Data!J75,"")</f>
        <v>16990</v>
      </c>
      <c r="AD75">
        <f>IF($AB75=1,Processed_Data!L75,0)</f>
        <v>0</v>
      </c>
      <c r="AE75">
        <f>IF($AB75=1,--(Processed_Data!M75="On Sale"),0)</f>
        <v>0</v>
      </c>
      <c r="AF75">
        <f>IF(AND($AB75=1,Processed_Data!C75="J."),Processed_Data!J75,"")</f>
        <v>16990</v>
      </c>
      <c r="AG75" t="str">
        <f>IF(AND($AB75=1,Processed_Data!C75="Maria.B"),Processed_Data!J75,"")</f>
        <v/>
      </c>
      <c r="AH75" t="str">
        <f>IF(AND($AB75=1,Processed_Data!C75="Sana Safinaz"),Processed_Data!J75,"")</f>
        <v/>
      </c>
      <c r="AI75">
        <f>IF(AND($AB75=1,Processed_Data!C75="J."),Processed_Data!L75,0)</f>
        <v>0</v>
      </c>
      <c r="AJ75">
        <f>IF(AND($AB75=1,Processed_Data!C75="Maria.B"),Processed_Data!L75,0)</f>
        <v>0</v>
      </c>
      <c r="AK75">
        <f>IF(AND($AB75=1,Processed_Data!C75="Sana Safinaz"),Processed_Data!L75,0)</f>
        <v>0</v>
      </c>
    </row>
    <row r="76" spans="21:37">
      <c r="U76" s="4">
        <f>IF(AND($AB76=1,Processed_Data!C76="J."),Processed_Data!J76,NA())</f>
        <v>12990</v>
      </c>
      <c r="V76" s="8">
        <f>IF(AND($AB76=1,Processed_Data!C76="J."),Processed_Data!L76/100,NA())</f>
        <v>0</v>
      </c>
      <c r="W76" s="4" t="e">
        <f>IF(AND($AB76=1,Processed_Data!C76="Maria.B"),Processed_Data!J76,NA())</f>
        <v>#N/A</v>
      </c>
      <c r="X76" s="8" t="e">
        <f>IF(AND($AB76=1,Processed_Data!C76="Maria.B"),Processed_Data!L76/100,NA())</f>
        <v>#N/A</v>
      </c>
      <c r="Y76" s="4" t="e">
        <f>IF(AND($AB76=1,Processed_Data!C76="Sana Safinaz"),Processed_Data!J76,NA())</f>
        <v>#N/A</v>
      </c>
      <c r="Z76" s="8" t="e">
        <f>IF(AND($AB76=1,Processed_Data!C76="Sana Safinaz"),Processed_Data!L76/100,NA())</f>
        <v>#N/A</v>
      </c>
      <c r="AB76">
        <f>--AND(OR($B$2="All",Processed_Data!C76=$B$2),OR($B$3="All",Processed_Data!F76=$B$3),OR($B$4="All",Processed_Data!G76=$B$4),OR($B$5="All",Processed_Data!H76=$B$5),OR($B$6="All",Processed_Data!R76=$B$6),OR($B$7="All",Processed_Data!N76=$B$7))</f>
        <v>1</v>
      </c>
      <c r="AC76">
        <f>IF($AB76=1,Processed_Data!J76,"")</f>
        <v>12990</v>
      </c>
      <c r="AD76">
        <f>IF($AB76=1,Processed_Data!L76,0)</f>
        <v>0</v>
      </c>
      <c r="AE76">
        <f>IF($AB76=1,--(Processed_Data!M76="On Sale"),0)</f>
        <v>0</v>
      </c>
      <c r="AF76">
        <f>IF(AND($AB76=1,Processed_Data!C76="J."),Processed_Data!J76,"")</f>
        <v>12990</v>
      </c>
      <c r="AG76" t="str">
        <f>IF(AND($AB76=1,Processed_Data!C76="Maria.B"),Processed_Data!J76,"")</f>
        <v/>
      </c>
      <c r="AH76" t="str">
        <f>IF(AND($AB76=1,Processed_Data!C76="Sana Safinaz"),Processed_Data!J76,"")</f>
        <v/>
      </c>
      <c r="AI76">
        <f>IF(AND($AB76=1,Processed_Data!C76="J."),Processed_Data!L76,0)</f>
        <v>0</v>
      </c>
      <c r="AJ76">
        <f>IF(AND($AB76=1,Processed_Data!C76="Maria.B"),Processed_Data!L76,0)</f>
        <v>0</v>
      </c>
      <c r="AK76">
        <f>IF(AND($AB76=1,Processed_Data!C76="Sana Safinaz"),Processed_Data!L76,0)</f>
        <v>0</v>
      </c>
    </row>
    <row r="77" spans="21:37">
      <c r="U77" s="4">
        <f>IF(AND($AB77=1,Processed_Data!C77="J."),Processed_Data!J77,NA())</f>
        <v>12990</v>
      </c>
      <c r="V77" s="8">
        <f>IF(AND($AB77=1,Processed_Data!C77="J."),Processed_Data!L77/100,NA())</f>
        <v>0</v>
      </c>
      <c r="W77" s="4" t="e">
        <f>IF(AND($AB77=1,Processed_Data!C77="Maria.B"),Processed_Data!J77,NA())</f>
        <v>#N/A</v>
      </c>
      <c r="X77" s="8" t="e">
        <f>IF(AND($AB77=1,Processed_Data!C77="Maria.B"),Processed_Data!L77/100,NA())</f>
        <v>#N/A</v>
      </c>
      <c r="Y77" s="4" t="e">
        <f>IF(AND($AB77=1,Processed_Data!C77="Sana Safinaz"),Processed_Data!J77,NA())</f>
        <v>#N/A</v>
      </c>
      <c r="Z77" s="8" t="e">
        <f>IF(AND($AB77=1,Processed_Data!C77="Sana Safinaz"),Processed_Data!L77/100,NA())</f>
        <v>#N/A</v>
      </c>
      <c r="AB77">
        <f>--AND(OR($B$2="All",Processed_Data!C77=$B$2),OR($B$3="All",Processed_Data!F77=$B$3),OR($B$4="All",Processed_Data!G77=$B$4),OR($B$5="All",Processed_Data!H77=$B$5),OR($B$6="All",Processed_Data!R77=$B$6),OR($B$7="All",Processed_Data!N77=$B$7))</f>
        <v>1</v>
      </c>
      <c r="AC77">
        <f>IF($AB77=1,Processed_Data!J77,"")</f>
        <v>12990</v>
      </c>
      <c r="AD77">
        <f>IF($AB77=1,Processed_Data!L77,0)</f>
        <v>0</v>
      </c>
      <c r="AE77">
        <f>IF($AB77=1,--(Processed_Data!M77="On Sale"),0)</f>
        <v>0</v>
      </c>
      <c r="AF77">
        <f>IF(AND($AB77=1,Processed_Data!C77="J."),Processed_Data!J77,"")</f>
        <v>12990</v>
      </c>
      <c r="AG77" t="str">
        <f>IF(AND($AB77=1,Processed_Data!C77="Maria.B"),Processed_Data!J77,"")</f>
        <v/>
      </c>
      <c r="AH77" t="str">
        <f>IF(AND($AB77=1,Processed_Data!C77="Sana Safinaz"),Processed_Data!J77,"")</f>
        <v/>
      </c>
      <c r="AI77">
        <f>IF(AND($AB77=1,Processed_Data!C77="J."),Processed_Data!L77,0)</f>
        <v>0</v>
      </c>
      <c r="AJ77">
        <f>IF(AND($AB77=1,Processed_Data!C77="Maria.B"),Processed_Data!L77,0)</f>
        <v>0</v>
      </c>
      <c r="AK77">
        <f>IF(AND($AB77=1,Processed_Data!C77="Sana Safinaz"),Processed_Data!L77,0)</f>
        <v>0</v>
      </c>
    </row>
    <row r="78" spans="21:37">
      <c r="U78" s="4">
        <f>IF(AND($AB78=1,Processed_Data!C78="J."),Processed_Data!J78,NA())</f>
        <v>19990</v>
      </c>
      <c r="V78" s="8">
        <f>IF(AND($AB78=1,Processed_Data!C78="J."),Processed_Data!L78/100,NA())</f>
        <v>0</v>
      </c>
      <c r="W78" s="4" t="e">
        <f>IF(AND($AB78=1,Processed_Data!C78="Maria.B"),Processed_Data!J78,NA())</f>
        <v>#N/A</v>
      </c>
      <c r="X78" s="8" t="e">
        <f>IF(AND($AB78=1,Processed_Data!C78="Maria.B"),Processed_Data!L78/100,NA())</f>
        <v>#N/A</v>
      </c>
      <c r="Y78" s="4" t="e">
        <f>IF(AND($AB78=1,Processed_Data!C78="Sana Safinaz"),Processed_Data!J78,NA())</f>
        <v>#N/A</v>
      </c>
      <c r="Z78" s="8" t="e">
        <f>IF(AND($AB78=1,Processed_Data!C78="Sana Safinaz"),Processed_Data!L78/100,NA())</f>
        <v>#N/A</v>
      </c>
      <c r="AB78">
        <f>--AND(OR($B$2="All",Processed_Data!C78=$B$2),OR($B$3="All",Processed_Data!F78=$B$3),OR($B$4="All",Processed_Data!G78=$B$4),OR($B$5="All",Processed_Data!H78=$B$5),OR($B$6="All",Processed_Data!R78=$B$6),OR($B$7="All",Processed_Data!N78=$B$7))</f>
        <v>1</v>
      </c>
      <c r="AC78">
        <f>IF($AB78=1,Processed_Data!J78,"")</f>
        <v>19990</v>
      </c>
      <c r="AD78">
        <f>IF($AB78=1,Processed_Data!L78,0)</f>
        <v>0</v>
      </c>
      <c r="AE78">
        <f>IF($AB78=1,--(Processed_Data!M78="On Sale"),0)</f>
        <v>0</v>
      </c>
      <c r="AF78">
        <f>IF(AND($AB78=1,Processed_Data!C78="J."),Processed_Data!J78,"")</f>
        <v>19990</v>
      </c>
      <c r="AG78" t="str">
        <f>IF(AND($AB78=1,Processed_Data!C78="Maria.B"),Processed_Data!J78,"")</f>
        <v/>
      </c>
      <c r="AH78" t="str">
        <f>IF(AND($AB78=1,Processed_Data!C78="Sana Safinaz"),Processed_Data!J78,"")</f>
        <v/>
      </c>
      <c r="AI78">
        <f>IF(AND($AB78=1,Processed_Data!C78="J."),Processed_Data!L78,0)</f>
        <v>0</v>
      </c>
      <c r="AJ78">
        <f>IF(AND($AB78=1,Processed_Data!C78="Maria.B"),Processed_Data!L78,0)</f>
        <v>0</v>
      </c>
      <c r="AK78">
        <f>IF(AND($AB78=1,Processed_Data!C78="Sana Safinaz"),Processed_Data!L78,0)</f>
        <v>0</v>
      </c>
    </row>
    <row r="79" spans="21:37">
      <c r="U79" s="4">
        <f>IF(AND($AB79=1,Processed_Data!C79="J."),Processed_Data!J79,NA())</f>
        <v>14990</v>
      </c>
      <c r="V79" s="8">
        <f>IF(AND($AB79=1,Processed_Data!C79="J."),Processed_Data!L79/100,NA())</f>
        <v>0</v>
      </c>
      <c r="W79" s="4" t="e">
        <f>IF(AND($AB79=1,Processed_Data!C79="Maria.B"),Processed_Data!J79,NA())</f>
        <v>#N/A</v>
      </c>
      <c r="X79" s="8" t="e">
        <f>IF(AND($AB79=1,Processed_Data!C79="Maria.B"),Processed_Data!L79/100,NA())</f>
        <v>#N/A</v>
      </c>
      <c r="Y79" s="4" t="e">
        <f>IF(AND($AB79=1,Processed_Data!C79="Sana Safinaz"),Processed_Data!J79,NA())</f>
        <v>#N/A</v>
      </c>
      <c r="Z79" s="8" t="e">
        <f>IF(AND($AB79=1,Processed_Data!C79="Sana Safinaz"),Processed_Data!L79/100,NA())</f>
        <v>#N/A</v>
      </c>
      <c r="AB79">
        <f>--AND(OR($B$2="All",Processed_Data!C79=$B$2),OR($B$3="All",Processed_Data!F79=$B$3),OR($B$4="All",Processed_Data!G79=$B$4),OR($B$5="All",Processed_Data!H79=$B$5),OR($B$6="All",Processed_Data!R79=$B$6),OR($B$7="All",Processed_Data!N79=$B$7))</f>
        <v>1</v>
      </c>
      <c r="AC79">
        <f>IF($AB79=1,Processed_Data!J79,"")</f>
        <v>14990</v>
      </c>
      <c r="AD79">
        <f>IF($AB79=1,Processed_Data!L79,0)</f>
        <v>0</v>
      </c>
      <c r="AE79">
        <f>IF($AB79=1,--(Processed_Data!M79="On Sale"),0)</f>
        <v>0</v>
      </c>
      <c r="AF79">
        <f>IF(AND($AB79=1,Processed_Data!C79="J."),Processed_Data!J79,"")</f>
        <v>14990</v>
      </c>
      <c r="AG79" t="str">
        <f>IF(AND($AB79=1,Processed_Data!C79="Maria.B"),Processed_Data!J79,"")</f>
        <v/>
      </c>
      <c r="AH79" t="str">
        <f>IF(AND($AB79=1,Processed_Data!C79="Sana Safinaz"),Processed_Data!J79,"")</f>
        <v/>
      </c>
      <c r="AI79">
        <f>IF(AND($AB79=1,Processed_Data!C79="J."),Processed_Data!L79,0)</f>
        <v>0</v>
      </c>
      <c r="AJ79">
        <f>IF(AND($AB79=1,Processed_Data!C79="Maria.B"),Processed_Data!L79,0)</f>
        <v>0</v>
      </c>
      <c r="AK79">
        <f>IF(AND($AB79=1,Processed_Data!C79="Sana Safinaz"),Processed_Data!L79,0)</f>
        <v>0</v>
      </c>
    </row>
    <row r="80" spans="21:37">
      <c r="U80" s="4">
        <f>IF(AND($AB80=1,Processed_Data!C80="J."),Processed_Data!J80,NA())</f>
        <v>11990</v>
      </c>
      <c r="V80" s="8">
        <f>IF(AND($AB80=1,Processed_Data!C80="J."),Processed_Data!L80/100,NA())</f>
        <v>0</v>
      </c>
      <c r="W80" s="4" t="e">
        <f>IF(AND($AB80=1,Processed_Data!C80="Maria.B"),Processed_Data!J80,NA())</f>
        <v>#N/A</v>
      </c>
      <c r="X80" s="8" t="e">
        <f>IF(AND($AB80=1,Processed_Data!C80="Maria.B"),Processed_Data!L80/100,NA())</f>
        <v>#N/A</v>
      </c>
      <c r="Y80" s="4" t="e">
        <f>IF(AND($AB80=1,Processed_Data!C80="Sana Safinaz"),Processed_Data!J80,NA())</f>
        <v>#N/A</v>
      </c>
      <c r="Z80" s="8" t="e">
        <f>IF(AND($AB80=1,Processed_Data!C80="Sana Safinaz"),Processed_Data!L80/100,NA())</f>
        <v>#N/A</v>
      </c>
      <c r="AB80">
        <f>--AND(OR($B$2="All",Processed_Data!C80=$B$2),OR($B$3="All",Processed_Data!F80=$B$3),OR($B$4="All",Processed_Data!G80=$B$4),OR($B$5="All",Processed_Data!H80=$B$5),OR($B$6="All",Processed_Data!R80=$B$6),OR($B$7="All",Processed_Data!N80=$B$7))</f>
        <v>1</v>
      </c>
      <c r="AC80">
        <f>IF($AB80=1,Processed_Data!J80,"")</f>
        <v>11990</v>
      </c>
      <c r="AD80">
        <f>IF($AB80=1,Processed_Data!L80,0)</f>
        <v>0</v>
      </c>
      <c r="AE80">
        <f>IF($AB80=1,--(Processed_Data!M80="On Sale"),0)</f>
        <v>0</v>
      </c>
      <c r="AF80">
        <f>IF(AND($AB80=1,Processed_Data!C80="J."),Processed_Data!J80,"")</f>
        <v>11990</v>
      </c>
      <c r="AG80" t="str">
        <f>IF(AND($AB80=1,Processed_Data!C80="Maria.B"),Processed_Data!J80,"")</f>
        <v/>
      </c>
      <c r="AH80" t="str">
        <f>IF(AND($AB80=1,Processed_Data!C80="Sana Safinaz"),Processed_Data!J80,"")</f>
        <v/>
      </c>
      <c r="AI80">
        <f>IF(AND($AB80=1,Processed_Data!C80="J."),Processed_Data!L80,0)</f>
        <v>0</v>
      </c>
      <c r="AJ80">
        <f>IF(AND($AB80=1,Processed_Data!C80="Maria.B"),Processed_Data!L80,0)</f>
        <v>0</v>
      </c>
      <c r="AK80">
        <f>IF(AND($AB80=1,Processed_Data!C80="Sana Safinaz"),Processed_Data!L80,0)</f>
        <v>0</v>
      </c>
    </row>
    <row r="81" spans="21:37">
      <c r="U81" s="4">
        <f>IF(AND($AB81=1,Processed_Data!C81="J."),Processed_Data!J81,NA())</f>
        <v>11990</v>
      </c>
      <c r="V81" s="8">
        <f>IF(AND($AB81=1,Processed_Data!C81="J."),Processed_Data!L81/100,NA())</f>
        <v>0</v>
      </c>
      <c r="W81" s="4" t="e">
        <f>IF(AND($AB81=1,Processed_Data!C81="Maria.B"),Processed_Data!J81,NA())</f>
        <v>#N/A</v>
      </c>
      <c r="X81" s="8" t="e">
        <f>IF(AND($AB81=1,Processed_Data!C81="Maria.B"),Processed_Data!L81/100,NA())</f>
        <v>#N/A</v>
      </c>
      <c r="Y81" s="4" t="e">
        <f>IF(AND($AB81=1,Processed_Data!C81="Sana Safinaz"),Processed_Data!J81,NA())</f>
        <v>#N/A</v>
      </c>
      <c r="Z81" s="8" t="e">
        <f>IF(AND($AB81=1,Processed_Data!C81="Sana Safinaz"),Processed_Data!L81/100,NA())</f>
        <v>#N/A</v>
      </c>
      <c r="AB81">
        <f>--AND(OR($B$2="All",Processed_Data!C81=$B$2),OR($B$3="All",Processed_Data!F81=$B$3),OR($B$4="All",Processed_Data!G81=$B$4),OR($B$5="All",Processed_Data!H81=$B$5),OR($B$6="All",Processed_Data!R81=$B$6),OR($B$7="All",Processed_Data!N81=$B$7))</f>
        <v>1</v>
      </c>
      <c r="AC81">
        <f>IF($AB81=1,Processed_Data!J81,"")</f>
        <v>11990</v>
      </c>
      <c r="AD81">
        <f>IF($AB81=1,Processed_Data!L81,0)</f>
        <v>0</v>
      </c>
      <c r="AE81">
        <f>IF($AB81=1,--(Processed_Data!M81="On Sale"),0)</f>
        <v>0</v>
      </c>
      <c r="AF81">
        <f>IF(AND($AB81=1,Processed_Data!C81="J."),Processed_Data!J81,"")</f>
        <v>11990</v>
      </c>
      <c r="AG81" t="str">
        <f>IF(AND($AB81=1,Processed_Data!C81="Maria.B"),Processed_Data!J81,"")</f>
        <v/>
      </c>
      <c r="AH81" t="str">
        <f>IF(AND($AB81=1,Processed_Data!C81="Sana Safinaz"),Processed_Data!J81,"")</f>
        <v/>
      </c>
      <c r="AI81">
        <f>IF(AND($AB81=1,Processed_Data!C81="J."),Processed_Data!L81,0)</f>
        <v>0</v>
      </c>
      <c r="AJ81">
        <f>IF(AND($AB81=1,Processed_Data!C81="Maria.B"),Processed_Data!L81,0)</f>
        <v>0</v>
      </c>
      <c r="AK81">
        <f>IF(AND($AB81=1,Processed_Data!C81="Sana Safinaz"),Processed_Data!L81,0)</f>
        <v>0</v>
      </c>
    </row>
    <row r="82" spans="21:37">
      <c r="U82" s="4">
        <f>IF(AND($AB82=1,Processed_Data!C82="J."),Processed_Data!J82,NA())</f>
        <v>11990</v>
      </c>
      <c r="V82" s="8">
        <f>IF(AND($AB82=1,Processed_Data!C82="J."),Processed_Data!L82/100,NA())</f>
        <v>0</v>
      </c>
      <c r="W82" s="4" t="e">
        <f>IF(AND($AB82=1,Processed_Data!C82="Maria.B"),Processed_Data!J82,NA())</f>
        <v>#N/A</v>
      </c>
      <c r="X82" s="8" t="e">
        <f>IF(AND($AB82=1,Processed_Data!C82="Maria.B"),Processed_Data!L82/100,NA())</f>
        <v>#N/A</v>
      </c>
      <c r="Y82" s="4" t="e">
        <f>IF(AND($AB82=1,Processed_Data!C82="Sana Safinaz"),Processed_Data!J82,NA())</f>
        <v>#N/A</v>
      </c>
      <c r="Z82" s="8" t="e">
        <f>IF(AND($AB82=1,Processed_Data!C82="Sana Safinaz"),Processed_Data!L82/100,NA())</f>
        <v>#N/A</v>
      </c>
      <c r="AB82">
        <f>--AND(OR($B$2="All",Processed_Data!C82=$B$2),OR($B$3="All",Processed_Data!F82=$B$3),OR($B$4="All",Processed_Data!G82=$B$4),OR($B$5="All",Processed_Data!H82=$B$5),OR($B$6="All",Processed_Data!R82=$B$6),OR($B$7="All",Processed_Data!N82=$B$7))</f>
        <v>1</v>
      </c>
      <c r="AC82">
        <f>IF($AB82=1,Processed_Data!J82,"")</f>
        <v>11990</v>
      </c>
      <c r="AD82">
        <f>IF($AB82=1,Processed_Data!L82,0)</f>
        <v>0</v>
      </c>
      <c r="AE82">
        <f>IF($AB82=1,--(Processed_Data!M82="On Sale"),0)</f>
        <v>0</v>
      </c>
      <c r="AF82">
        <f>IF(AND($AB82=1,Processed_Data!C82="J."),Processed_Data!J82,"")</f>
        <v>11990</v>
      </c>
      <c r="AG82" t="str">
        <f>IF(AND($AB82=1,Processed_Data!C82="Maria.B"),Processed_Data!J82,"")</f>
        <v/>
      </c>
      <c r="AH82" t="str">
        <f>IF(AND($AB82=1,Processed_Data!C82="Sana Safinaz"),Processed_Data!J82,"")</f>
        <v/>
      </c>
      <c r="AI82">
        <f>IF(AND($AB82=1,Processed_Data!C82="J."),Processed_Data!L82,0)</f>
        <v>0</v>
      </c>
      <c r="AJ82">
        <f>IF(AND($AB82=1,Processed_Data!C82="Maria.B"),Processed_Data!L82,0)</f>
        <v>0</v>
      </c>
      <c r="AK82">
        <f>IF(AND($AB82=1,Processed_Data!C82="Sana Safinaz"),Processed_Data!L82,0)</f>
        <v>0</v>
      </c>
    </row>
    <row r="83" spans="21:37">
      <c r="U83" s="4">
        <f>IF(AND($AB83=1,Processed_Data!C83="J."),Processed_Data!J83,NA())</f>
        <v>10194</v>
      </c>
      <c r="V83" s="8">
        <f>IF(AND($AB83=1,Processed_Data!C83="J."),Processed_Data!L83/100,NA())</f>
        <v>0.4</v>
      </c>
      <c r="W83" s="4" t="e">
        <f>IF(AND($AB83=1,Processed_Data!C83="Maria.B"),Processed_Data!J83,NA())</f>
        <v>#N/A</v>
      </c>
      <c r="X83" s="8" t="e">
        <f>IF(AND($AB83=1,Processed_Data!C83="Maria.B"),Processed_Data!L83/100,NA())</f>
        <v>#N/A</v>
      </c>
      <c r="Y83" s="4" t="e">
        <f>IF(AND($AB83=1,Processed_Data!C83="Sana Safinaz"),Processed_Data!J83,NA())</f>
        <v>#N/A</v>
      </c>
      <c r="Z83" s="8" t="e">
        <f>IF(AND($AB83=1,Processed_Data!C83="Sana Safinaz"),Processed_Data!L83/100,NA())</f>
        <v>#N/A</v>
      </c>
      <c r="AB83">
        <f>--AND(OR($B$2="All",Processed_Data!C83=$B$2),OR($B$3="All",Processed_Data!F83=$B$3),OR($B$4="All",Processed_Data!G83=$B$4),OR($B$5="All",Processed_Data!H83=$B$5),OR($B$6="All",Processed_Data!R83=$B$6),OR($B$7="All",Processed_Data!N83=$B$7))</f>
        <v>1</v>
      </c>
      <c r="AC83">
        <f>IF($AB83=1,Processed_Data!J83,"")</f>
        <v>10194</v>
      </c>
      <c r="AD83">
        <f>IF($AB83=1,Processed_Data!L83,0)</f>
        <v>40</v>
      </c>
      <c r="AE83">
        <f>IF($AB83=1,--(Processed_Data!M83="On Sale"),0)</f>
        <v>1</v>
      </c>
      <c r="AF83">
        <f>IF(AND($AB83=1,Processed_Data!C83="J."),Processed_Data!J83,"")</f>
        <v>10194</v>
      </c>
      <c r="AG83" t="str">
        <f>IF(AND($AB83=1,Processed_Data!C83="Maria.B"),Processed_Data!J83,"")</f>
        <v/>
      </c>
      <c r="AH83" t="str">
        <f>IF(AND($AB83=1,Processed_Data!C83="Sana Safinaz"),Processed_Data!J83,"")</f>
        <v/>
      </c>
      <c r="AI83">
        <f>IF(AND($AB83=1,Processed_Data!C83="J."),Processed_Data!L83,0)</f>
        <v>40</v>
      </c>
      <c r="AJ83">
        <f>IF(AND($AB83=1,Processed_Data!C83="Maria.B"),Processed_Data!L83,0)</f>
        <v>0</v>
      </c>
      <c r="AK83">
        <f>IF(AND($AB83=1,Processed_Data!C83="Sana Safinaz"),Processed_Data!L83,0)</f>
        <v>0</v>
      </c>
    </row>
    <row r="84" spans="21:37">
      <c r="U84" s="4">
        <f>IF(AND($AB84=1,Processed_Data!C84="J."),Processed_Data!J84,NA())</f>
        <v>18990</v>
      </c>
      <c r="V84" s="8">
        <f>IF(AND($AB84=1,Processed_Data!C84="J."),Processed_Data!L84/100,NA())</f>
        <v>0</v>
      </c>
      <c r="W84" s="4" t="e">
        <f>IF(AND($AB84=1,Processed_Data!C84="Maria.B"),Processed_Data!J84,NA())</f>
        <v>#N/A</v>
      </c>
      <c r="X84" s="8" t="e">
        <f>IF(AND($AB84=1,Processed_Data!C84="Maria.B"),Processed_Data!L84/100,NA())</f>
        <v>#N/A</v>
      </c>
      <c r="Y84" s="4" t="e">
        <f>IF(AND($AB84=1,Processed_Data!C84="Sana Safinaz"),Processed_Data!J84,NA())</f>
        <v>#N/A</v>
      </c>
      <c r="Z84" s="8" t="e">
        <f>IF(AND($AB84=1,Processed_Data!C84="Sana Safinaz"),Processed_Data!L84/100,NA())</f>
        <v>#N/A</v>
      </c>
      <c r="AB84">
        <f>--AND(OR($B$2="All",Processed_Data!C84=$B$2),OR($B$3="All",Processed_Data!F84=$B$3),OR($B$4="All",Processed_Data!G84=$B$4),OR($B$5="All",Processed_Data!H84=$B$5),OR($B$6="All",Processed_Data!R84=$B$6),OR($B$7="All",Processed_Data!N84=$B$7))</f>
        <v>1</v>
      </c>
      <c r="AC84">
        <f>IF($AB84=1,Processed_Data!J84,"")</f>
        <v>18990</v>
      </c>
      <c r="AD84">
        <f>IF($AB84=1,Processed_Data!L84,0)</f>
        <v>0</v>
      </c>
      <c r="AE84">
        <f>IF($AB84=1,--(Processed_Data!M84="On Sale"),0)</f>
        <v>0</v>
      </c>
      <c r="AF84">
        <f>IF(AND($AB84=1,Processed_Data!C84="J."),Processed_Data!J84,"")</f>
        <v>18990</v>
      </c>
      <c r="AG84" t="str">
        <f>IF(AND($AB84=1,Processed_Data!C84="Maria.B"),Processed_Data!J84,"")</f>
        <v/>
      </c>
      <c r="AH84" t="str">
        <f>IF(AND($AB84=1,Processed_Data!C84="Sana Safinaz"),Processed_Data!J84,"")</f>
        <v/>
      </c>
      <c r="AI84">
        <f>IF(AND($AB84=1,Processed_Data!C84="J."),Processed_Data!L84,0)</f>
        <v>0</v>
      </c>
      <c r="AJ84">
        <f>IF(AND($AB84=1,Processed_Data!C84="Maria.B"),Processed_Data!L84,0)</f>
        <v>0</v>
      </c>
      <c r="AK84">
        <f>IF(AND($AB84=1,Processed_Data!C84="Sana Safinaz"),Processed_Data!L84,0)</f>
        <v>0</v>
      </c>
    </row>
    <row r="85" spans="21:37">
      <c r="U85" s="4">
        <f>IF(AND($AB85=1,Processed_Data!C85="J."),Processed_Data!J85,NA())</f>
        <v>17994</v>
      </c>
      <c r="V85" s="8">
        <f>IF(AND($AB85=1,Processed_Data!C85="J."),Processed_Data!L85/100,NA())</f>
        <v>0.4</v>
      </c>
      <c r="W85" s="4" t="e">
        <f>IF(AND($AB85=1,Processed_Data!C85="Maria.B"),Processed_Data!J85,NA())</f>
        <v>#N/A</v>
      </c>
      <c r="X85" s="8" t="e">
        <f>IF(AND($AB85=1,Processed_Data!C85="Maria.B"),Processed_Data!L85/100,NA())</f>
        <v>#N/A</v>
      </c>
      <c r="Y85" s="4" t="e">
        <f>IF(AND($AB85=1,Processed_Data!C85="Sana Safinaz"),Processed_Data!J85,NA())</f>
        <v>#N/A</v>
      </c>
      <c r="Z85" s="8" t="e">
        <f>IF(AND($AB85=1,Processed_Data!C85="Sana Safinaz"),Processed_Data!L85/100,NA())</f>
        <v>#N/A</v>
      </c>
      <c r="AB85">
        <f>--AND(OR($B$2="All",Processed_Data!C85=$B$2),OR($B$3="All",Processed_Data!F85=$B$3),OR($B$4="All",Processed_Data!G85=$B$4),OR($B$5="All",Processed_Data!H85=$B$5),OR($B$6="All",Processed_Data!R85=$B$6),OR($B$7="All",Processed_Data!N85=$B$7))</f>
        <v>1</v>
      </c>
      <c r="AC85">
        <f>IF($AB85=1,Processed_Data!J85,"")</f>
        <v>17994</v>
      </c>
      <c r="AD85">
        <f>IF($AB85=1,Processed_Data!L85,0)</f>
        <v>40</v>
      </c>
      <c r="AE85">
        <f>IF($AB85=1,--(Processed_Data!M85="On Sale"),0)</f>
        <v>1</v>
      </c>
      <c r="AF85">
        <f>IF(AND($AB85=1,Processed_Data!C85="J."),Processed_Data!J85,"")</f>
        <v>17994</v>
      </c>
      <c r="AG85" t="str">
        <f>IF(AND($AB85=1,Processed_Data!C85="Maria.B"),Processed_Data!J85,"")</f>
        <v/>
      </c>
      <c r="AH85" t="str">
        <f>IF(AND($AB85=1,Processed_Data!C85="Sana Safinaz"),Processed_Data!J85,"")</f>
        <v/>
      </c>
      <c r="AI85">
        <f>IF(AND($AB85=1,Processed_Data!C85="J."),Processed_Data!L85,0)</f>
        <v>40</v>
      </c>
      <c r="AJ85">
        <f>IF(AND($AB85=1,Processed_Data!C85="Maria.B"),Processed_Data!L85,0)</f>
        <v>0</v>
      </c>
      <c r="AK85">
        <f>IF(AND($AB85=1,Processed_Data!C85="Sana Safinaz"),Processed_Data!L85,0)</f>
        <v>0</v>
      </c>
    </row>
    <row r="86" spans="21:37">
      <c r="U86" s="4">
        <f>IF(AND($AB86=1,Processed_Data!C86="J."),Processed_Data!J86,NA())</f>
        <v>6993</v>
      </c>
      <c r="V86" s="8">
        <f>IF(AND($AB86=1,Processed_Data!C86="J."),Processed_Data!L86/100,NA())</f>
        <v>0.3</v>
      </c>
      <c r="W86" s="4" t="e">
        <f>IF(AND($AB86=1,Processed_Data!C86="Maria.B"),Processed_Data!J86,NA())</f>
        <v>#N/A</v>
      </c>
      <c r="X86" s="8" t="e">
        <f>IF(AND($AB86=1,Processed_Data!C86="Maria.B"),Processed_Data!L86/100,NA())</f>
        <v>#N/A</v>
      </c>
      <c r="Y86" s="4" t="e">
        <f>IF(AND($AB86=1,Processed_Data!C86="Sana Safinaz"),Processed_Data!J86,NA())</f>
        <v>#N/A</v>
      </c>
      <c r="Z86" s="8" t="e">
        <f>IF(AND($AB86=1,Processed_Data!C86="Sana Safinaz"),Processed_Data!L86/100,NA())</f>
        <v>#N/A</v>
      </c>
      <c r="AB86">
        <f>--AND(OR($B$2="All",Processed_Data!C86=$B$2),OR($B$3="All",Processed_Data!F86=$B$3),OR($B$4="All",Processed_Data!G86=$B$4),OR($B$5="All",Processed_Data!H86=$B$5),OR($B$6="All",Processed_Data!R86=$B$6),OR($B$7="All",Processed_Data!N86=$B$7))</f>
        <v>1</v>
      </c>
      <c r="AC86">
        <f>IF($AB86=1,Processed_Data!J86,"")</f>
        <v>6993</v>
      </c>
      <c r="AD86">
        <f>IF($AB86=1,Processed_Data!L86,0)</f>
        <v>30</v>
      </c>
      <c r="AE86">
        <f>IF($AB86=1,--(Processed_Data!M86="On Sale"),0)</f>
        <v>1</v>
      </c>
      <c r="AF86">
        <f>IF(AND($AB86=1,Processed_Data!C86="J."),Processed_Data!J86,"")</f>
        <v>6993</v>
      </c>
      <c r="AG86" t="str">
        <f>IF(AND($AB86=1,Processed_Data!C86="Maria.B"),Processed_Data!J86,"")</f>
        <v/>
      </c>
      <c r="AH86" t="str">
        <f>IF(AND($AB86=1,Processed_Data!C86="Sana Safinaz"),Processed_Data!J86,"")</f>
        <v/>
      </c>
      <c r="AI86">
        <f>IF(AND($AB86=1,Processed_Data!C86="J."),Processed_Data!L86,0)</f>
        <v>30</v>
      </c>
      <c r="AJ86">
        <f>IF(AND($AB86=1,Processed_Data!C86="Maria.B"),Processed_Data!L86,0)</f>
        <v>0</v>
      </c>
      <c r="AK86">
        <f>IF(AND($AB86=1,Processed_Data!C86="Sana Safinaz"),Processed_Data!L86,0)</f>
        <v>0</v>
      </c>
    </row>
    <row r="87" spans="21:37">
      <c r="U87" s="4">
        <f>IF(AND($AB87=1,Processed_Data!C87="J."),Processed_Data!J87,NA())</f>
        <v>4316</v>
      </c>
      <c r="V87" s="8">
        <f>IF(AND($AB87=1,Processed_Data!C87="J."),Processed_Data!L87/100,NA())</f>
        <v>0.6</v>
      </c>
      <c r="W87" s="4" t="e">
        <f>IF(AND($AB87=1,Processed_Data!C87="Maria.B"),Processed_Data!J87,NA())</f>
        <v>#N/A</v>
      </c>
      <c r="X87" s="8" t="e">
        <f>IF(AND($AB87=1,Processed_Data!C87="Maria.B"),Processed_Data!L87/100,NA())</f>
        <v>#N/A</v>
      </c>
      <c r="Y87" s="4" t="e">
        <f>IF(AND($AB87=1,Processed_Data!C87="Sana Safinaz"),Processed_Data!J87,NA())</f>
        <v>#N/A</v>
      </c>
      <c r="Z87" s="8" t="e">
        <f>IF(AND($AB87=1,Processed_Data!C87="Sana Safinaz"),Processed_Data!L87/100,NA())</f>
        <v>#N/A</v>
      </c>
      <c r="AB87">
        <f>--AND(OR($B$2="All",Processed_Data!C87=$B$2),OR($B$3="All",Processed_Data!F87=$B$3),OR($B$4="All",Processed_Data!G87=$B$4),OR($B$5="All",Processed_Data!H87=$B$5),OR($B$6="All",Processed_Data!R87=$B$6),OR($B$7="All",Processed_Data!N87=$B$7))</f>
        <v>1</v>
      </c>
      <c r="AC87">
        <f>IF($AB87=1,Processed_Data!J87,"")</f>
        <v>4316</v>
      </c>
      <c r="AD87">
        <f>IF($AB87=1,Processed_Data!L87,0)</f>
        <v>60</v>
      </c>
      <c r="AE87">
        <f>IF($AB87=1,--(Processed_Data!M87="On Sale"),0)</f>
        <v>1</v>
      </c>
      <c r="AF87">
        <f>IF(AND($AB87=1,Processed_Data!C87="J."),Processed_Data!J87,"")</f>
        <v>4316</v>
      </c>
      <c r="AG87" t="str">
        <f>IF(AND($AB87=1,Processed_Data!C87="Maria.B"),Processed_Data!J87,"")</f>
        <v/>
      </c>
      <c r="AH87" t="str">
        <f>IF(AND($AB87=1,Processed_Data!C87="Sana Safinaz"),Processed_Data!J87,"")</f>
        <v/>
      </c>
      <c r="AI87">
        <f>IF(AND($AB87=1,Processed_Data!C87="J."),Processed_Data!L87,0)</f>
        <v>60</v>
      </c>
      <c r="AJ87">
        <f>IF(AND($AB87=1,Processed_Data!C87="Maria.B"),Processed_Data!L87,0)</f>
        <v>0</v>
      </c>
      <c r="AK87">
        <f>IF(AND($AB87=1,Processed_Data!C87="Sana Safinaz"),Processed_Data!L87,0)</f>
        <v>0</v>
      </c>
    </row>
    <row r="88" spans="21:37">
      <c r="U88" s="4">
        <f>IF(AND($AB88=1,Processed_Data!C88="J."),Processed_Data!J88,NA())</f>
        <v>12990</v>
      </c>
      <c r="V88" s="8">
        <f>IF(AND($AB88=1,Processed_Data!C88="J."),Processed_Data!L88/100,NA())</f>
        <v>0</v>
      </c>
      <c r="W88" s="4" t="e">
        <f>IF(AND($AB88=1,Processed_Data!C88="Maria.B"),Processed_Data!J88,NA())</f>
        <v>#N/A</v>
      </c>
      <c r="X88" s="8" t="e">
        <f>IF(AND($AB88=1,Processed_Data!C88="Maria.B"),Processed_Data!L88/100,NA())</f>
        <v>#N/A</v>
      </c>
      <c r="Y88" s="4" t="e">
        <f>IF(AND($AB88=1,Processed_Data!C88="Sana Safinaz"),Processed_Data!J88,NA())</f>
        <v>#N/A</v>
      </c>
      <c r="Z88" s="8" t="e">
        <f>IF(AND($AB88=1,Processed_Data!C88="Sana Safinaz"),Processed_Data!L88/100,NA())</f>
        <v>#N/A</v>
      </c>
      <c r="AB88">
        <f>--AND(OR($B$2="All",Processed_Data!C88=$B$2),OR($B$3="All",Processed_Data!F88=$B$3),OR($B$4="All",Processed_Data!G88=$B$4),OR($B$5="All",Processed_Data!H88=$B$5),OR($B$6="All",Processed_Data!R88=$B$6),OR($B$7="All",Processed_Data!N88=$B$7))</f>
        <v>1</v>
      </c>
      <c r="AC88">
        <f>IF($AB88=1,Processed_Data!J88,"")</f>
        <v>12990</v>
      </c>
      <c r="AD88">
        <f>IF($AB88=1,Processed_Data!L88,0)</f>
        <v>0</v>
      </c>
      <c r="AE88">
        <f>IF($AB88=1,--(Processed_Data!M88="On Sale"),0)</f>
        <v>0</v>
      </c>
      <c r="AF88">
        <f>IF(AND($AB88=1,Processed_Data!C88="J."),Processed_Data!J88,"")</f>
        <v>12990</v>
      </c>
      <c r="AG88" t="str">
        <f>IF(AND($AB88=1,Processed_Data!C88="Maria.B"),Processed_Data!J88,"")</f>
        <v/>
      </c>
      <c r="AH88" t="str">
        <f>IF(AND($AB88=1,Processed_Data!C88="Sana Safinaz"),Processed_Data!J88,"")</f>
        <v/>
      </c>
      <c r="AI88">
        <f>IF(AND($AB88=1,Processed_Data!C88="J."),Processed_Data!L88,0)</f>
        <v>0</v>
      </c>
      <c r="AJ88">
        <f>IF(AND($AB88=1,Processed_Data!C88="Maria.B"),Processed_Data!L88,0)</f>
        <v>0</v>
      </c>
      <c r="AK88">
        <f>IF(AND($AB88=1,Processed_Data!C88="Sana Safinaz"),Processed_Data!L88,0)</f>
        <v>0</v>
      </c>
    </row>
    <row r="89" spans="21:37">
      <c r="U89" s="4">
        <f>IF(AND($AB89=1,Processed_Data!C89="J."),Processed_Data!J89,NA())</f>
        <v>17990</v>
      </c>
      <c r="V89" s="8">
        <f>IF(AND($AB89=1,Processed_Data!C89="J."),Processed_Data!L89/100,NA())</f>
        <v>0</v>
      </c>
      <c r="W89" s="4" t="e">
        <f>IF(AND($AB89=1,Processed_Data!C89="Maria.B"),Processed_Data!J89,NA())</f>
        <v>#N/A</v>
      </c>
      <c r="X89" s="8" t="e">
        <f>IF(AND($AB89=1,Processed_Data!C89="Maria.B"),Processed_Data!L89/100,NA())</f>
        <v>#N/A</v>
      </c>
      <c r="Y89" s="4" t="e">
        <f>IF(AND($AB89=1,Processed_Data!C89="Sana Safinaz"),Processed_Data!J89,NA())</f>
        <v>#N/A</v>
      </c>
      <c r="Z89" s="8" t="e">
        <f>IF(AND($AB89=1,Processed_Data!C89="Sana Safinaz"),Processed_Data!L89/100,NA())</f>
        <v>#N/A</v>
      </c>
      <c r="AB89">
        <f>--AND(OR($B$2="All",Processed_Data!C89=$B$2),OR($B$3="All",Processed_Data!F89=$B$3),OR($B$4="All",Processed_Data!G89=$B$4),OR($B$5="All",Processed_Data!H89=$B$5),OR($B$6="All",Processed_Data!R89=$B$6),OR($B$7="All",Processed_Data!N89=$B$7))</f>
        <v>1</v>
      </c>
      <c r="AC89">
        <f>IF($AB89=1,Processed_Data!J89,"")</f>
        <v>17990</v>
      </c>
      <c r="AD89">
        <f>IF($AB89=1,Processed_Data!L89,0)</f>
        <v>0</v>
      </c>
      <c r="AE89">
        <f>IF($AB89=1,--(Processed_Data!M89="On Sale"),0)</f>
        <v>0</v>
      </c>
      <c r="AF89">
        <f>IF(AND($AB89=1,Processed_Data!C89="J."),Processed_Data!J89,"")</f>
        <v>17990</v>
      </c>
      <c r="AG89" t="str">
        <f>IF(AND($AB89=1,Processed_Data!C89="Maria.B"),Processed_Data!J89,"")</f>
        <v/>
      </c>
      <c r="AH89" t="str">
        <f>IF(AND($AB89=1,Processed_Data!C89="Sana Safinaz"),Processed_Data!J89,"")</f>
        <v/>
      </c>
      <c r="AI89">
        <f>IF(AND($AB89=1,Processed_Data!C89="J."),Processed_Data!L89,0)</f>
        <v>0</v>
      </c>
      <c r="AJ89">
        <f>IF(AND($AB89=1,Processed_Data!C89="Maria.B"),Processed_Data!L89,0)</f>
        <v>0</v>
      </c>
      <c r="AK89">
        <f>IF(AND($AB89=1,Processed_Data!C89="Sana Safinaz"),Processed_Data!L89,0)</f>
        <v>0</v>
      </c>
    </row>
    <row r="90" spans="21:37">
      <c r="U90" s="4">
        <f>IF(AND($AB90=1,Processed_Data!C90="J."),Processed_Data!J90,NA())</f>
        <v>17990</v>
      </c>
      <c r="V90" s="8">
        <f>IF(AND($AB90=1,Processed_Data!C90="J."),Processed_Data!L90/100,NA())</f>
        <v>0</v>
      </c>
      <c r="W90" s="4" t="e">
        <f>IF(AND($AB90=1,Processed_Data!C90="Maria.B"),Processed_Data!J90,NA())</f>
        <v>#N/A</v>
      </c>
      <c r="X90" s="8" t="e">
        <f>IF(AND($AB90=1,Processed_Data!C90="Maria.B"),Processed_Data!L90/100,NA())</f>
        <v>#N/A</v>
      </c>
      <c r="Y90" s="4" t="e">
        <f>IF(AND($AB90=1,Processed_Data!C90="Sana Safinaz"),Processed_Data!J90,NA())</f>
        <v>#N/A</v>
      </c>
      <c r="Z90" s="8" t="e">
        <f>IF(AND($AB90=1,Processed_Data!C90="Sana Safinaz"),Processed_Data!L90/100,NA())</f>
        <v>#N/A</v>
      </c>
      <c r="AB90">
        <f>--AND(OR($B$2="All",Processed_Data!C90=$B$2),OR($B$3="All",Processed_Data!F90=$B$3),OR($B$4="All",Processed_Data!G90=$B$4),OR($B$5="All",Processed_Data!H90=$B$5),OR($B$6="All",Processed_Data!R90=$B$6),OR($B$7="All",Processed_Data!N90=$B$7))</f>
        <v>1</v>
      </c>
      <c r="AC90">
        <f>IF($AB90=1,Processed_Data!J90,"")</f>
        <v>17990</v>
      </c>
      <c r="AD90">
        <f>IF($AB90=1,Processed_Data!L90,0)</f>
        <v>0</v>
      </c>
      <c r="AE90">
        <f>IF($AB90=1,--(Processed_Data!M90="On Sale"),0)</f>
        <v>0</v>
      </c>
      <c r="AF90">
        <f>IF(AND($AB90=1,Processed_Data!C90="J."),Processed_Data!J90,"")</f>
        <v>17990</v>
      </c>
      <c r="AG90" t="str">
        <f>IF(AND($AB90=1,Processed_Data!C90="Maria.B"),Processed_Data!J90,"")</f>
        <v/>
      </c>
      <c r="AH90" t="str">
        <f>IF(AND($AB90=1,Processed_Data!C90="Sana Safinaz"),Processed_Data!J90,"")</f>
        <v/>
      </c>
      <c r="AI90">
        <f>IF(AND($AB90=1,Processed_Data!C90="J."),Processed_Data!L90,0)</f>
        <v>0</v>
      </c>
      <c r="AJ90">
        <f>IF(AND($AB90=1,Processed_Data!C90="Maria.B"),Processed_Data!L90,0)</f>
        <v>0</v>
      </c>
      <c r="AK90">
        <f>IF(AND($AB90=1,Processed_Data!C90="Sana Safinaz"),Processed_Data!L90,0)</f>
        <v>0</v>
      </c>
    </row>
    <row r="91" spans="21:37">
      <c r="U91" s="4">
        <f>IF(AND($AB91=1,Processed_Data!C91="J."),Processed_Data!J91,NA())</f>
        <v>29990</v>
      </c>
      <c r="V91" s="8">
        <f>IF(AND($AB91=1,Processed_Data!C91="J."),Processed_Data!L91/100,NA())</f>
        <v>0</v>
      </c>
      <c r="W91" s="4" t="e">
        <f>IF(AND($AB91=1,Processed_Data!C91="Maria.B"),Processed_Data!J91,NA())</f>
        <v>#N/A</v>
      </c>
      <c r="X91" s="8" t="e">
        <f>IF(AND($AB91=1,Processed_Data!C91="Maria.B"),Processed_Data!L91/100,NA())</f>
        <v>#N/A</v>
      </c>
      <c r="Y91" s="4" t="e">
        <f>IF(AND($AB91=1,Processed_Data!C91="Sana Safinaz"),Processed_Data!J91,NA())</f>
        <v>#N/A</v>
      </c>
      <c r="Z91" s="8" t="e">
        <f>IF(AND($AB91=1,Processed_Data!C91="Sana Safinaz"),Processed_Data!L91/100,NA())</f>
        <v>#N/A</v>
      </c>
      <c r="AB91">
        <f>--AND(OR($B$2="All",Processed_Data!C91=$B$2),OR($B$3="All",Processed_Data!F91=$B$3),OR($B$4="All",Processed_Data!G91=$B$4),OR($B$5="All",Processed_Data!H91=$B$5),OR($B$6="All",Processed_Data!R91=$B$6),OR($B$7="All",Processed_Data!N91=$B$7))</f>
        <v>1</v>
      </c>
      <c r="AC91">
        <f>IF($AB91=1,Processed_Data!J91,"")</f>
        <v>29990</v>
      </c>
      <c r="AD91">
        <f>IF($AB91=1,Processed_Data!L91,0)</f>
        <v>0</v>
      </c>
      <c r="AE91">
        <f>IF($AB91=1,--(Processed_Data!M91="On Sale"),0)</f>
        <v>0</v>
      </c>
      <c r="AF91">
        <f>IF(AND($AB91=1,Processed_Data!C91="J."),Processed_Data!J91,"")</f>
        <v>29990</v>
      </c>
      <c r="AG91" t="str">
        <f>IF(AND($AB91=1,Processed_Data!C91="Maria.B"),Processed_Data!J91,"")</f>
        <v/>
      </c>
      <c r="AH91" t="str">
        <f>IF(AND($AB91=1,Processed_Data!C91="Sana Safinaz"),Processed_Data!J91,"")</f>
        <v/>
      </c>
      <c r="AI91">
        <f>IF(AND($AB91=1,Processed_Data!C91="J."),Processed_Data!L91,0)</f>
        <v>0</v>
      </c>
      <c r="AJ91">
        <f>IF(AND($AB91=1,Processed_Data!C91="Maria.B"),Processed_Data!L91,0)</f>
        <v>0</v>
      </c>
      <c r="AK91">
        <f>IF(AND($AB91=1,Processed_Data!C91="Sana Safinaz"),Processed_Data!L91,0)</f>
        <v>0</v>
      </c>
    </row>
    <row r="92" spans="21:37">
      <c r="U92" s="4">
        <f>IF(AND($AB92=1,Processed_Data!C92="J."),Processed_Data!J92,NA())</f>
        <v>14990</v>
      </c>
      <c r="V92" s="8">
        <f>IF(AND($AB92=1,Processed_Data!C92="J."),Processed_Data!L92/100,NA())</f>
        <v>0</v>
      </c>
      <c r="W92" s="4" t="e">
        <f>IF(AND($AB92=1,Processed_Data!C92="Maria.B"),Processed_Data!J92,NA())</f>
        <v>#N/A</v>
      </c>
      <c r="X92" s="8" t="e">
        <f>IF(AND($AB92=1,Processed_Data!C92="Maria.B"),Processed_Data!L92/100,NA())</f>
        <v>#N/A</v>
      </c>
      <c r="Y92" s="4" t="e">
        <f>IF(AND($AB92=1,Processed_Data!C92="Sana Safinaz"),Processed_Data!J92,NA())</f>
        <v>#N/A</v>
      </c>
      <c r="Z92" s="8" t="e">
        <f>IF(AND($AB92=1,Processed_Data!C92="Sana Safinaz"),Processed_Data!L92/100,NA())</f>
        <v>#N/A</v>
      </c>
      <c r="AB92">
        <f>--AND(OR($B$2="All",Processed_Data!C92=$B$2),OR($B$3="All",Processed_Data!F92=$B$3),OR($B$4="All",Processed_Data!G92=$B$4),OR($B$5="All",Processed_Data!H92=$B$5),OR($B$6="All",Processed_Data!R92=$B$6),OR($B$7="All",Processed_Data!N92=$B$7))</f>
        <v>1</v>
      </c>
      <c r="AC92">
        <f>IF($AB92=1,Processed_Data!J92,"")</f>
        <v>14990</v>
      </c>
      <c r="AD92">
        <f>IF($AB92=1,Processed_Data!L92,0)</f>
        <v>0</v>
      </c>
      <c r="AE92">
        <f>IF($AB92=1,--(Processed_Data!M92="On Sale"),0)</f>
        <v>0</v>
      </c>
      <c r="AF92">
        <f>IF(AND($AB92=1,Processed_Data!C92="J."),Processed_Data!J92,"")</f>
        <v>14990</v>
      </c>
      <c r="AG92" t="str">
        <f>IF(AND($AB92=1,Processed_Data!C92="Maria.B"),Processed_Data!J92,"")</f>
        <v/>
      </c>
      <c r="AH92" t="str">
        <f>IF(AND($AB92=1,Processed_Data!C92="Sana Safinaz"),Processed_Data!J92,"")</f>
        <v/>
      </c>
      <c r="AI92">
        <f>IF(AND($AB92=1,Processed_Data!C92="J."),Processed_Data!L92,0)</f>
        <v>0</v>
      </c>
      <c r="AJ92">
        <f>IF(AND($AB92=1,Processed_Data!C92="Maria.B"),Processed_Data!L92,0)</f>
        <v>0</v>
      </c>
      <c r="AK92">
        <f>IF(AND($AB92=1,Processed_Data!C92="Sana Safinaz"),Processed_Data!L92,0)</f>
        <v>0</v>
      </c>
    </row>
    <row r="93" spans="21:37">
      <c r="U93" s="4">
        <f>IF(AND($AB93=1,Processed_Data!C93="J."),Processed_Data!J93,NA())</f>
        <v>17990</v>
      </c>
      <c r="V93" s="8">
        <f>IF(AND($AB93=1,Processed_Data!C93="J."),Processed_Data!L93/100,NA())</f>
        <v>0</v>
      </c>
      <c r="W93" s="4" t="e">
        <f>IF(AND($AB93=1,Processed_Data!C93="Maria.B"),Processed_Data!J93,NA())</f>
        <v>#N/A</v>
      </c>
      <c r="X93" s="8" t="e">
        <f>IF(AND($AB93=1,Processed_Data!C93="Maria.B"),Processed_Data!L93/100,NA())</f>
        <v>#N/A</v>
      </c>
      <c r="Y93" s="4" t="e">
        <f>IF(AND($AB93=1,Processed_Data!C93="Sana Safinaz"),Processed_Data!J93,NA())</f>
        <v>#N/A</v>
      </c>
      <c r="Z93" s="8" t="e">
        <f>IF(AND($AB93=1,Processed_Data!C93="Sana Safinaz"),Processed_Data!L93/100,NA())</f>
        <v>#N/A</v>
      </c>
      <c r="AB93">
        <f>--AND(OR($B$2="All",Processed_Data!C93=$B$2),OR($B$3="All",Processed_Data!F93=$B$3),OR($B$4="All",Processed_Data!G93=$B$4),OR($B$5="All",Processed_Data!H93=$B$5),OR($B$6="All",Processed_Data!R93=$B$6),OR($B$7="All",Processed_Data!N93=$B$7))</f>
        <v>1</v>
      </c>
      <c r="AC93">
        <f>IF($AB93=1,Processed_Data!J93,"")</f>
        <v>17990</v>
      </c>
      <c r="AD93">
        <f>IF($AB93=1,Processed_Data!L93,0)</f>
        <v>0</v>
      </c>
      <c r="AE93">
        <f>IF($AB93=1,--(Processed_Data!M93="On Sale"),0)</f>
        <v>0</v>
      </c>
      <c r="AF93">
        <f>IF(AND($AB93=1,Processed_Data!C93="J."),Processed_Data!J93,"")</f>
        <v>17990</v>
      </c>
      <c r="AG93" t="str">
        <f>IF(AND($AB93=1,Processed_Data!C93="Maria.B"),Processed_Data!J93,"")</f>
        <v/>
      </c>
      <c r="AH93" t="str">
        <f>IF(AND($AB93=1,Processed_Data!C93="Sana Safinaz"),Processed_Data!J93,"")</f>
        <v/>
      </c>
      <c r="AI93">
        <f>IF(AND($AB93=1,Processed_Data!C93="J."),Processed_Data!L93,0)</f>
        <v>0</v>
      </c>
      <c r="AJ93">
        <f>IF(AND($AB93=1,Processed_Data!C93="Maria.B"),Processed_Data!L93,0)</f>
        <v>0</v>
      </c>
      <c r="AK93">
        <f>IF(AND($AB93=1,Processed_Data!C93="Sana Safinaz"),Processed_Data!L93,0)</f>
        <v>0</v>
      </c>
    </row>
    <row r="94" spans="21:37">
      <c r="U94" s="4">
        <f>IF(AND($AB94=1,Processed_Data!C94="J."),Processed_Data!J94,NA())</f>
        <v>24990</v>
      </c>
      <c r="V94" s="8">
        <f>IF(AND($AB94=1,Processed_Data!C94="J."),Processed_Data!L94/100,NA())</f>
        <v>0</v>
      </c>
      <c r="W94" s="4" t="e">
        <f>IF(AND($AB94=1,Processed_Data!C94="Maria.B"),Processed_Data!J94,NA())</f>
        <v>#N/A</v>
      </c>
      <c r="X94" s="8" t="e">
        <f>IF(AND($AB94=1,Processed_Data!C94="Maria.B"),Processed_Data!L94/100,NA())</f>
        <v>#N/A</v>
      </c>
      <c r="Y94" s="4" t="e">
        <f>IF(AND($AB94=1,Processed_Data!C94="Sana Safinaz"),Processed_Data!J94,NA())</f>
        <v>#N/A</v>
      </c>
      <c r="Z94" s="8" t="e">
        <f>IF(AND($AB94=1,Processed_Data!C94="Sana Safinaz"),Processed_Data!L94/100,NA())</f>
        <v>#N/A</v>
      </c>
      <c r="AB94">
        <f>--AND(OR($B$2="All",Processed_Data!C94=$B$2),OR($B$3="All",Processed_Data!F94=$B$3),OR($B$4="All",Processed_Data!G94=$B$4),OR($B$5="All",Processed_Data!H94=$B$5),OR($B$6="All",Processed_Data!R94=$B$6),OR($B$7="All",Processed_Data!N94=$B$7))</f>
        <v>1</v>
      </c>
      <c r="AC94">
        <f>IF($AB94=1,Processed_Data!J94,"")</f>
        <v>24990</v>
      </c>
      <c r="AD94">
        <f>IF($AB94=1,Processed_Data!L94,0)</f>
        <v>0</v>
      </c>
      <c r="AE94">
        <f>IF($AB94=1,--(Processed_Data!M94="On Sale"),0)</f>
        <v>0</v>
      </c>
      <c r="AF94">
        <f>IF(AND($AB94=1,Processed_Data!C94="J."),Processed_Data!J94,"")</f>
        <v>24990</v>
      </c>
      <c r="AG94" t="str">
        <f>IF(AND($AB94=1,Processed_Data!C94="Maria.B"),Processed_Data!J94,"")</f>
        <v/>
      </c>
      <c r="AH94" t="str">
        <f>IF(AND($AB94=1,Processed_Data!C94="Sana Safinaz"),Processed_Data!J94,"")</f>
        <v/>
      </c>
      <c r="AI94">
        <f>IF(AND($AB94=1,Processed_Data!C94="J."),Processed_Data!L94,0)</f>
        <v>0</v>
      </c>
      <c r="AJ94">
        <f>IF(AND($AB94=1,Processed_Data!C94="Maria.B"),Processed_Data!L94,0)</f>
        <v>0</v>
      </c>
      <c r="AK94">
        <f>IF(AND($AB94=1,Processed_Data!C94="Sana Safinaz"),Processed_Data!L94,0)</f>
        <v>0</v>
      </c>
    </row>
    <row r="95" spans="21:37">
      <c r="U95" s="4">
        <f>IF(AND($AB95=1,Processed_Data!C95="J."),Processed_Data!J95,NA())</f>
        <v>14990</v>
      </c>
      <c r="V95" s="8">
        <f>IF(AND($AB95=1,Processed_Data!C95="J."),Processed_Data!L95/100,NA())</f>
        <v>0</v>
      </c>
      <c r="W95" s="4" t="e">
        <f>IF(AND($AB95=1,Processed_Data!C95="Maria.B"),Processed_Data!J95,NA())</f>
        <v>#N/A</v>
      </c>
      <c r="X95" s="8" t="e">
        <f>IF(AND($AB95=1,Processed_Data!C95="Maria.B"),Processed_Data!L95/100,NA())</f>
        <v>#N/A</v>
      </c>
      <c r="Y95" s="4" t="e">
        <f>IF(AND($AB95=1,Processed_Data!C95="Sana Safinaz"),Processed_Data!J95,NA())</f>
        <v>#N/A</v>
      </c>
      <c r="Z95" s="8" t="e">
        <f>IF(AND($AB95=1,Processed_Data!C95="Sana Safinaz"),Processed_Data!L95/100,NA())</f>
        <v>#N/A</v>
      </c>
      <c r="AB95">
        <f>--AND(OR($B$2="All",Processed_Data!C95=$B$2),OR($B$3="All",Processed_Data!F95=$B$3),OR($B$4="All",Processed_Data!G95=$B$4),OR($B$5="All",Processed_Data!H95=$B$5),OR($B$6="All",Processed_Data!R95=$B$6),OR($B$7="All",Processed_Data!N95=$B$7))</f>
        <v>1</v>
      </c>
      <c r="AC95">
        <f>IF($AB95=1,Processed_Data!J95,"")</f>
        <v>14990</v>
      </c>
      <c r="AD95">
        <f>IF($AB95=1,Processed_Data!L95,0)</f>
        <v>0</v>
      </c>
      <c r="AE95">
        <f>IF($AB95=1,--(Processed_Data!M95="On Sale"),0)</f>
        <v>0</v>
      </c>
      <c r="AF95">
        <f>IF(AND($AB95=1,Processed_Data!C95="J."),Processed_Data!J95,"")</f>
        <v>14990</v>
      </c>
      <c r="AG95" t="str">
        <f>IF(AND($AB95=1,Processed_Data!C95="Maria.B"),Processed_Data!J95,"")</f>
        <v/>
      </c>
      <c r="AH95" t="str">
        <f>IF(AND($AB95=1,Processed_Data!C95="Sana Safinaz"),Processed_Data!J95,"")</f>
        <v/>
      </c>
      <c r="AI95">
        <f>IF(AND($AB95=1,Processed_Data!C95="J."),Processed_Data!L95,0)</f>
        <v>0</v>
      </c>
      <c r="AJ95">
        <f>IF(AND($AB95=1,Processed_Data!C95="Maria.B"),Processed_Data!L95,0)</f>
        <v>0</v>
      </c>
      <c r="AK95">
        <f>IF(AND($AB95=1,Processed_Data!C95="Sana Safinaz"),Processed_Data!L95,0)</f>
        <v>0</v>
      </c>
    </row>
    <row r="96" spans="21:37">
      <c r="U96" s="4">
        <f>IF(AND($AB96=1,Processed_Data!C96="J."),Processed_Data!J96,NA())</f>
        <v>18990</v>
      </c>
      <c r="V96" s="8">
        <f>IF(AND($AB96=1,Processed_Data!C96="J."),Processed_Data!L96/100,NA())</f>
        <v>0</v>
      </c>
      <c r="W96" s="4" t="e">
        <f>IF(AND($AB96=1,Processed_Data!C96="Maria.B"),Processed_Data!J96,NA())</f>
        <v>#N/A</v>
      </c>
      <c r="X96" s="8" t="e">
        <f>IF(AND($AB96=1,Processed_Data!C96="Maria.B"),Processed_Data!L96/100,NA())</f>
        <v>#N/A</v>
      </c>
      <c r="Y96" s="4" t="e">
        <f>IF(AND($AB96=1,Processed_Data!C96="Sana Safinaz"),Processed_Data!J96,NA())</f>
        <v>#N/A</v>
      </c>
      <c r="Z96" s="8" t="e">
        <f>IF(AND($AB96=1,Processed_Data!C96="Sana Safinaz"),Processed_Data!L96/100,NA())</f>
        <v>#N/A</v>
      </c>
      <c r="AB96">
        <f>--AND(OR($B$2="All",Processed_Data!C96=$B$2),OR($B$3="All",Processed_Data!F96=$B$3),OR($B$4="All",Processed_Data!G96=$B$4),OR($B$5="All",Processed_Data!H96=$B$5),OR($B$6="All",Processed_Data!R96=$B$6),OR($B$7="All",Processed_Data!N96=$B$7))</f>
        <v>1</v>
      </c>
      <c r="AC96">
        <f>IF($AB96=1,Processed_Data!J96,"")</f>
        <v>18990</v>
      </c>
      <c r="AD96">
        <f>IF($AB96=1,Processed_Data!L96,0)</f>
        <v>0</v>
      </c>
      <c r="AE96">
        <f>IF($AB96=1,--(Processed_Data!M96="On Sale"),0)</f>
        <v>0</v>
      </c>
      <c r="AF96">
        <f>IF(AND($AB96=1,Processed_Data!C96="J."),Processed_Data!J96,"")</f>
        <v>18990</v>
      </c>
      <c r="AG96" t="str">
        <f>IF(AND($AB96=1,Processed_Data!C96="Maria.B"),Processed_Data!J96,"")</f>
        <v/>
      </c>
      <c r="AH96" t="str">
        <f>IF(AND($AB96=1,Processed_Data!C96="Sana Safinaz"),Processed_Data!J96,"")</f>
        <v/>
      </c>
      <c r="AI96">
        <f>IF(AND($AB96=1,Processed_Data!C96="J."),Processed_Data!L96,0)</f>
        <v>0</v>
      </c>
      <c r="AJ96">
        <f>IF(AND($AB96=1,Processed_Data!C96="Maria.B"),Processed_Data!L96,0)</f>
        <v>0</v>
      </c>
      <c r="AK96">
        <f>IF(AND($AB96=1,Processed_Data!C96="Sana Safinaz"),Processed_Data!L96,0)</f>
        <v>0</v>
      </c>
    </row>
    <row r="97" spans="21:37">
      <c r="U97" s="4">
        <f>IF(AND($AB97=1,Processed_Data!C97="J."),Processed_Data!J97,NA())</f>
        <v>13990</v>
      </c>
      <c r="V97" s="8">
        <f>IF(AND($AB97=1,Processed_Data!C97="J."),Processed_Data!L97/100,NA())</f>
        <v>0</v>
      </c>
      <c r="W97" s="4" t="e">
        <f>IF(AND($AB97=1,Processed_Data!C97="Maria.B"),Processed_Data!J97,NA())</f>
        <v>#N/A</v>
      </c>
      <c r="X97" s="8" t="e">
        <f>IF(AND($AB97=1,Processed_Data!C97="Maria.B"),Processed_Data!L97/100,NA())</f>
        <v>#N/A</v>
      </c>
      <c r="Y97" s="4" t="e">
        <f>IF(AND($AB97=1,Processed_Data!C97="Sana Safinaz"),Processed_Data!J97,NA())</f>
        <v>#N/A</v>
      </c>
      <c r="Z97" s="8" t="e">
        <f>IF(AND($AB97=1,Processed_Data!C97="Sana Safinaz"),Processed_Data!L97/100,NA())</f>
        <v>#N/A</v>
      </c>
      <c r="AB97">
        <f>--AND(OR($B$2="All",Processed_Data!C97=$B$2),OR($B$3="All",Processed_Data!F97=$B$3),OR($B$4="All",Processed_Data!G97=$B$4),OR($B$5="All",Processed_Data!H97=$B$5),OR($B$6="All",Processed_Data!R97=$B$6),OR($B$7="All",Processed_Data!N97=$B$7))</f>
        <v>1</v>
      </c>
      <c r="AC97">
        <f>IF($AB97=1,Processed_Data!J97,"")</f>
        <v>13990</v>
      </c>
      <c r="AD97">
        <f>IF($AB97=1,Processed_Data!L97,0)</f>
        <v>0</v>
      </c>
      <c r="AE97">
        <f>IF($AB97=1,--(Processed_Data!M97="On Sale"),0)</f>
        <v>0</v>
      </c>
      <c r="AF97">
        <f>IF(AND($AB97=1,Processed_Data!C97="J."),Processed_Data!J97,"")</f>
        <v>13990</v>
      </c>
      <c r="AG97" t="str">
        <f>IF(AND($AB97=1,Processed_Data!C97="Maria.B"),Processed_Data!J97,"")</f>
        <v/>
      </c>
      <c r="AH97" t="str">
        <f>IF(AND($AB97=1,Processed_Data!C97="Sana Safinaz"),Processed_Data!J97,"")</f>
        <v/>
      </c>
      <c r="AI97">
        <f>IF(AND($AB97=1,Processed_Data!C97="J."),Processed_Data!L97,0)</f>
        <v>0</v>
      </c>
      <c r="AJ97">
        <f>IF(AND($AB97=1,Processed_Data!C97="Maria.B"),Processed_Data!L97,0)</f>
        <v>0</v>
      </c>
      <c r="AK97">
        <f>IF(AND($AB97=1,Processed_Data!C97="Sana Safinaz"),Processed_Data!L97,0)</f>
        <v>0</v>
      </c>
    </row>
    <row r="98" spans="21:37">
      <c r="U98" s="4">
        <f>IF(AND($AB98=1,Processed_Data!C98="J."),Processed_Data!J98,NA())</f>
        <v>18990</v>
      </c>
      <c r="V98" s="8">
        <f>IF(AND($AB98=1,Processed_Data!C98="J."),Processed_Data!L98/100,NA())</f>
        <v>0</v>
      </c>
      <c r="W98" s="4" t="e">
        <f>IF(AND($AB98=1,Processed_Data!C98="Maria.B"),Processed_Data!J98,NA())</f>
        <v>#N/A</v>
      </c>
      <c r="X98" s="8" t="e">
        <f>IF(AND($AB98=1,Processed_Data!C98="Maria.B"),Processed_Data!L98/100,NA())</f>
        <v>#N/A</v>
      </c>
      <c r="Y98" s="4" t="e">
        <f>IF(AND($AB98=1,Processed_Data!C98="Sana Safinaz"),Processed_Data!J98,NA())</f>
        <v>#N/A</v>
      </c>
      <c r="Z98" s="8" t="e">
        <f>IF(AND($AB98=1,Processed_Data!C98="Sana Safinaz"),Processed_Data!L98/100,NA())</f>
        <v>#N/A</v>
      </c>
      <c r="AB98">
        <f>--AND(OR($B$2="All",Processed_Data!C98=$B$2),OR($B$3="All",Processed_Data!F98=$B$3),OR($B$4="All",Processed_Data!G98=$B$4),OR($B$5="All",Processed_Data!H98=$B$5),OR($B$6="All",Processed_Data!R98=$B$6),OR($B$7="All",Processed_Data!N98=$B$7))</f>
        <v>1</v>
      </c>
      <c r="AC98">
        <f>IF($AB98=1,Processed_Data!J98,"")</f>
        <v>18990</v>
      </c>
      <c r="AD98">
        <f>IF($AB98=1,Processed_Data!L98,0)</f>
        <v>0</v>
      </c>
      <c r="AE98">
        <f>IF($AB98=1,--(Processed_Data!M98="On Sale"),0)</f>
        <v>0</v>
      </c>
      <c r="AF98">
        <f>IF(AND($AB98=1,Processed_Data!C98="J."),Processed_Data!J98,"")</f>
        <v>18990</v>
      </c>
      <c r="AG98" t="str">
        <f>IF(AND($AB98=1,Processed_Data!C98="Maria.B"),Processed_Data!J98,"")</f>
        <v/>
      </c>
      <c r="AH98" t="str">
        <f>IF(AND($AB98=1,Processed_Data!C98="Sana Safinaz"),Processed_Data!J98,"")</f>
        <v/>
      </c>
      <c r="AI98">
        <f>IF(AND($AB98=1,Processed_Data!C98="J."),Processed_Data!L98,0)</f>
        <v>0</v>
      </c>
      <c r="AJ98">
        <f>IF(AND($AB98=1,Processed_Data!C98="Maria.B"),Processed_Data!L98,0)</f>
        <v>0</v>
      </c>
      <c r="AK98">
        <f>IF(AND($AB98=1,Processed_Data!C98="Sana Safinaz"),Processed_Data!L98,0)</f>
        <v>0</v>
      </c>
    </row>
    <row r="99" spans="21:37">
      <c r="U99" s="4">
        <f>IF(AND($AB99=1,Processed_Data!C99="J."),Processed_Data!J99,NA())</f>
        <v>16990</v>
      </c>
      <c r="V99" s="8">
        <f>IF(AND($AB99=1,Processed_Data!C99="J."),Processed_Data!L99/100,NA())</f>
        <v>0</v>
      </c>
      <c r="W99" s="4" t="e">
        <f>IF(AND($AB99=1,Processed_Data!C99="Maria.B"),Processed_Data!J99,NA())</f>
        <v>#N/A</v>
      </c>
      <c r="X99" s="8" t="e">
        <f>IF(AND($AB99=1,Processed_Data!C99="Maria.B"),Processed_Data!L99/100,NA())</f>
        <v>#N/A</v>
      </c>
      <c r="Y99" s="4" t="e">
        <f>IF(AND($AB99=1,Processed_Data!C99="Sana Safinaz"),Processed_Data!J99,NA())</f>
        <v>#N/A</v>
      </c>
      <c r="Z99" s="8" t="e">
        <f>IF(AND($AB99=1,Processed_Data!C99="Sana Safinaz"),Processed_Data!L99/100,NA())</f>
        <v>#N/A</v>
      </c>
      <c r="AB99">
        <f>--AND(OR($B$2="All",Processed_Data!C99=$B$2),OR($B$3="All",Processed_Data!F99=$B$3),OR($B$4="All",Processed_Data!G99=$B$4),OR($B$5="All",Processed_Data!H99=$B$5),OR($B$6="All",Processed_Data!R99=$B$6),OR($B$7="All",Processed_Data!N99=$B$7))</f>
        <v>1</v>
      </c>
      <c r="AC99">
        <f>IF($AB99=1,Processed_Data!J99,"")</f>
        <v>16990</v>
      </c>
      <c r="AD99">
        <f>IF($AB99=1,Processed_Data!L99,0)</f>
        <v>0</v>
      </c>
      <c r="AE99">
        <f>IF($AB99=1,--(Processed_Data!M99="On Sale"),0)</f>
        <v>0</v>
      </c>
      <c r="AF99">
        <f>IF(AND($AB99=1,Processed_Data!C99="J."),Processed_Data!J99,"")</f>
        <v>16990</v>
      </c>
      <c r="AG99" t="str">
        <f>IF(AND($AB99=1,Processed_Data!C99="Maria.B"),Processed_Data!J99,"")</f>
        <v/>
      </c>
      <c r="AH99" t="str">
        <f>IF(AND($AB99=1,Processed_Data!C99="Sana Safinaz"),Processed_Data!J99,"")</f>
        <v/>
      </c>
      <c r="AI99">
        <f>IF(AND($AB99=1,Processed_Data!C99="J."),Processed_Data!L99,0)</f>
        <v>0</v>
      </c>
      <c r="AJ99">
        <f>IF(AND($AB99=1,Processed_Data!C99="Maria.B"),Processed_Data!L99,0)</f>
        <v>0</v>
      </c>
      <c r="AK99">
        <f>IF(AND($AB99=1,Processed_Data!C99="Sana Safinaz"),Processed_Data!L99,0)</f>
        <v>0</v>
      </c>
    </row>
    <row r="100" spans="21:37">
      <c r="U100" s="4">
        <f>IF(AND($AB100=1,Processed_Data!C100="J."),Processed_Data!J100,NA())</f>
        <v>27990</v>
      </c>
      <c r="V100" s="8">
        <f>IF(AND($AB100=1,Processed_Data!C100="J."),Processed_Data!L100/100,NA())</f>
        <v>0</v>
      </c>
      <c r="W100" s="4" t="e">
        <f>IF(AND($AB100=1,Processed_Data!C100="Maria.B"),Processed_Data!J100,NA())</f>
        <v>#N/A</v>
      </c>
      <c r="X100" s="8" t="e">
        <f>IF(AND($AB100=1,Processed_Data!C100="Maria.B"),Processed_Data!L100/100,NA())</f>
        <v>#N/A</v>
      </c>
      <c r="Y100" s="4" t="e">
        <f>IF(AND($AB100=1,Processed_Data!C100="Sana Safinaz"),Processed_Data!J100,NA())</f>
        <v>#N/A</v>
      </c>
      <c r="Z100" s="8" t="e">
        <f>IF(AND($AB100=1,Processed_Data!C100="Sana Safinaz"),Processed_Data!L100/100,NA())</f>
        <v>#N/A</v>
      </c>
      <c r="AB100">
        <f>--AND(OR($B$2="All",Processed_Data!C100=$B$2),OR($B$3="All",Processed_Data!F100=$B$3),OR($B$4="All",Processed_Data!G100=$B$4),OR($B$5="All",Processed_Data!H100=$B$5),OR($B$6="All",Processed_Data!R100=$B$6),OR($B$7="All",Processed_Data!N100=$B$7))</f>
        <v>1</v>
      </c>
      <c r="AC100">
        <f>IF($AB100=1,Processed_Data!J100,"")</f>
        <v>27990</v>
      </c>
      <c r="AD100">
        <f>IF($AB100=1,Processed_Data!L100,0)</f>
        <v>0</v>
      </c>
      <c r="AE100">
        <f>IF($AB100=1,--(Processed_Data!M100="On Sale"),0)</f>
        <v>0</v>
      </c>
      <c r="AF100">
        <f>IF(AND($AB100=1,Processed_Data!C100="J."),Processed_Data!J100,"")</f>
        <v>27990</v>
      </c>
      <c r="AG100" t="str">
        <f>IF(AND($AB100=1,Processed_Data!C100="Maria.B"),Processed_Data!J100,"")</f>
        <v/>
      </c>
      <c r="AH100" t="str">
        <f>IF(AND($AB100=1,Processed_Data!C100="Sana Safinaz"),Processed_Data!J100,"")</f>
        <v/>
      </c>
      <c r="AI100">
        <f>IF(AND($AB100=1,Processed_Data!C100="J."),Processed_Data!L100,0)</f>
        <v>0</v>
      </c>
      <c r="AJ100">
        <f>IF(AND($AB100=1,Processed_Data!C100="Maria.B"),Processed_Data!L100,0)</f>
        <v>0</v>
      </c>
      <c r="AK100">
        <f>IF(AND($AB100=1,Processed_Data!C100="Sana Safinaz"),Processed_Data!L100,0)</f>
        <v>0</v>
      </c>
    </row>
    <row r="101" spans="21:37">
      <c r="U101" s="4">
        <f>IF(AND($AB101=1,Processed_Data!C101="J."),Processed_Data!J101,NA())</f>
        <v>15990</v>
      </c>
      <c r="V101" s="8">
        <f>IF(AND($AB101=1,Processed_Data!C101="J."),Processed_Data!L101/100,NA())</f>
        <v>0</v>
      </c>
      <c r="W101" s="4" t="e">
        <f>IF(AND($AB101=1,Processed_Data!C101="Maria.B"),Processed_Data!J101,NA())</f>
        <v>#N/A</v>
      </c>
      <c r="X101" s="8" t="e">
        <f>IF(AND($AB101=1,Processed_Data!C101="Maria.B"),Processed_Data!L101/100,NA())</f>
        <v>#N/A</v>
      </c>
      <c r="Y101" s="4" t="e">
        <f>IF(AND($AB101=1,Processed_Data!C101="Sana Safinaz"),Processed_Data!J101,NA())</f>
        <v>#N/A</v>
      </c>
      <c r="Z101" s="8" t="e">
        <f>IF(AND($AB101=1,Processed_Data!C101="Sana Safinaz"),Processed_Data!L101/100,NA())</f>
        <v>#N/A</v>
      </c>
      <c r="AB101">
        <f>--AND(OR($B$2="All",Processed_Data!C101=$B$2),OR($B$3="All",Processed_Data!F101=$B$3),OR($B$4="All",Processed_Data!G101=$B$4),OR($B$5="All",Processed_Data!H101=$B$5),OR($B$6="All",Processed_Data!R101=$B$6),OR($B$7="All",Processed_Data!N101=$B$7))</f>
        <v>1</v>
      </c>
      <c r="AC101">
        <f>IF($AB101=1,Processed_Data!J101,"")</f>
        <v>15990</v>
      </c>
      <c r="AD101">
        <f>IF($AB101=1,Processed_Data!L101,0)</f>
        <v>0</v>
      </c>
      <c r="AE101">
        <f>IF($AB101=1,--(Processed_Data!M101="On Sale"),0)</f>
        <v>0</v>
      </c>
      <c r="AF101">
        <f>IF(AND($AB101=1,Processed_Data!C101="J."),Processed_Data!J101,"")</f>
        <v>15990</v>
      </c>
      <c r="AG101" t="str">
        <f>IF(AND($AB101=1,Processed_Data!C101="Maria.B"),Processed_Data!J101,"")</f>
        <v/>
      </c>
      <c r="AH101" t="str">
        <f>IF(AND($AB101=1,Processed_Data!C101="Sana Safinaz"),Processed_Data!J101,"")</f>
        <v/>
      </c>
      <c r="AI101">
        <f>IF(AND($AB101=1,Processed_Data!C101="J."),Processed_Data!L101,0)</f>
        <v>0</v>
      </c>
      <c r="AJ101">
        <f>IF(AND($AB101=1,Processed_Data!C101="Maria.B"),Processed_Data!L101,0)</f>
        <v>0</v>
      </c>
      <c r="AK101">
        <f>IF(AND($AB101=1,Processed_Data!C101="Sana Safinaz"),Processed_Data!L101,0)</f>
        <v>0</v>
      </c>
    </row>
    <row r="102" spans="21:37">
      <c r="U102" s="4" t="e">
        <f>IF(AND($AB102=1,Processed_Data!C102="J."),Processed_Data!J102,NA())</f>
        <v>#N/A</v>
      </c>
      <c r="V102" s="8" t="e">
        <f>IF(AND($AB102=1,Processed_Data!C102="J."),Processed_Data!L102/100,NA())</f>
        <v>#N/A</v>
      </c>
      <c r="W102" s="4">
        <f>IF(AND($AB102=1,Processed_Data!C102="Maria.B"),Processed_Data!J102,NA())</f>
        <v>36990</v>
      </c>
      <c r="X102" s="8">
        <f>IF(AND($AB102=1,Processed_Data!C102="Maria.B"),Processed_Data!L102/100,NA())</f>
        <v>0</v>
      </c>
      <c r="Y102" s="4" t="e">
        <f>IF(AND($AB102=1,Processed_Data!C102="Sana Safinaz"),Processed_Data!J102,NA())</f>
        <v>#N/A</v>
      </c>
      <c r="Z102" s="8" t="e">
        <f>IF(AND($AB102=1,Processed_Data!C102="Sana Safinaz"),Processed_Data!L102/100,NA())</f>
        <v>#N/A</v>
      </c>
      <c r="AB102">
        <f>--AND(OR($B$2="All",Processed_Data!C102=$B$2),OR($B$3="All",Processed_Data!F102=$B$3),OR($B$4="All",Processed_Data!G102=$B$4),OR($B$5="All",Processed_Data!H102=$B$5),OR($B$6="All",Processed_Data!R102=$B$6),OR($B$7="All",Processed_Data!N102=$B$7))</f>
        <v>1</v>
      </c>
      <c r="AC102">
        <f>IF($AB102=1,Processed_Data!J102,"")</f>
        <v>36990</v>
      </c>
      <c r="AD102">
        <f>IF($AB102=1,Processed_Data!L102,0)</f>
        <v>0</v>
      </c>
      <c r="AE102">
        <f>IF($AB102=1,--(Processed_Data!M102="On Sale"),0)</f>
        <v>0</v>
      </c>
      <c r="AF102" t="str">
        <f>IF(AND($AB102=1,Processed_Data!C102="J."),Processed_Data!J102,"")</f>
        <v/>
      </c>
      <c r="AG102">
        <f>IF(AND($AB102=1,Processed_Data!C102="Maria.B"),Processed_Data!J102,"")</f>
        <v>36990</v>
      </c>
      <c r="AH102" t="str">
        <f>IF(AND($AB102=1,Processed_Data!C102="Sana Safinaz"),Processed_Data!J102,"")</f>
        <v/>
      </c>
      <c r="AI102">
        <f>IF(AND($AB102=1,Processed_Data!C102="J."),Processed_Data!L102,0)</f>
        <v>0</v>
      </c>
      <c r="AJ102">
        <f>IF(AND($AB102=1,Processed_Data!C102="Maria.B"),Processed_Data!L102,0)</f>
        <v>0</v>
      </c>
      <c r="AK102">
        <f>IF(AND($AB102=1,Processed_Data!C102="Sana Safinaz"),Processed_Data!L102,0)</f>
        <v>0</v>
      </c>
    </row>
    <row r="103" spans="21:37">
      <c r="U103" s="4" t="e">
        <f>IF(AND($AB103=1,Processed_Data!C103="J."),Processed_Data!J103,NA())</f>
        <v>#N/A</v>
      </c>
      <c r="V103" s="8" t="e">
        <f>IF(AND($AB103=1,Processed_Data!C103="J."),Processed_Data!L103/100,NA())</f>
        <v>#N/A</v>
      </c>
      <c r="W103" s="4">
        <f>IF(AND($AB103=1,Processed_Data!C103="Maria.B"),Processed_Data!J103,NA())</f>
        <v>36990</v>
      </c>
      <c r="X103" s="8">
        <f>IF(AND($AB103=1,Processed_Data!C103="Maria.B"),Processed_Data!L103/100,NA())</f>
        <v>0</v>
      </c>
      <c r="Y103" s="4" t="e">
        <f>IF(AND($AB103=1,Processed_Data!C103="Sana Safinaz"),Processed_Data!J103,NA())</f>
        <v>#N/A</v>
      </c>
      <c r="Z103" s="8" t="e">
        <f>IF(AND($AB103=1,Processed_Data!C103="Sana Safinaz"),Processed_Data!L103/100,NA())</f>
        <v>#N/A</v>
      </c>
      <c r="AB103">
        <f>--AND(OR($B$2="All",Processed_Data!C103=$B$2),OR($B$3="All",Processed_Data!F103=$B$3),OR($B$4="All",Processed_Data!G103=$B$4),OR($B$5="All",Processed_Data!H103=$B$5),OR($B$6="All",Processed_Data!R103=$B$6),OR($B$7="All",Processed_Data!N103=$B$7))</f>
        <v>1</v>
      </c>
      <c r="AC103">
        <f>IF($AB103=1,Processed_Data!J103,"")</f>
        <v>36990</v>
      </c>
      <c r="AD103">
        <f>IF($AB103=1,Processed_Data!L103,0)</f>
        <v>0</v>
      </c>
      <c r="AE103">
        <f>IF($AB103=1,--(Processed_Data!M103="On Sale"),0)</f>
        <v>0</v>
      </c>
      <c r="AF103" t="str">
        <f>IF(AND($AB103=1,Processed_Data!C103="J."),Processed_Data!J103,"")</f>
        <v/>
      </c>
      <c r="AG103">
        <f>IF(AND($AB103=1,Processed_Data!C103="Maria.B"),Processed_Data!J103,"")</f>
        <v>36990</v>
      </c>
      <c r="AH103" t="str">
        <f>IF(AND($AB103=1,Processed_Data!C103="Sana Safinaz"),Processed_Data!J103,"")</f>
        <v/>
      </c>
      <c r="AI103">
        <f>IF(AND($AB103=1,Processed_Data!C103="J."),Processed_Data!L103,0)</f>
        <v>0</v>
      </c>
      <c r="AJ103">
        <f>IF(AND($AB103=1,Processed_Data!C103="Maria.B"),Processed_Data!L103,0)</f>
        <v>0</v>
      </c>
      <c r="AK103">
        <f>IF(AND($AB103=1,Processed_Data!C103="Sana Safinaz"),Processed_Data!L103,0)</f>
        <v>0</v>
      </c>
    </row>
    <row r="104" spans="21:37">
      <c r="U104" s="4" t="e">
        <f>IF(AND($AB104=1,Processed_Data!C104="J."),Processed_Data!J104,NA())</f>
        <v>#N/A</v>
      </c>
      <c r="V104" s="8" t="e">
        <f>IF(AND($AB104=1,Processed_Data!C104="J."),Processed_Data!L104/100,NA())</f>
        <v>#N/A</v>
      </c>
      <c r="W104" s="4">
        <f>IF(AND($AB104=1,Processed_Data!C104="Maria.B"),Processed_Data!J104,NA())</f>
        <v>35990</v>
      </c>
      <c r="X104" s="8">
        <f>IF(AND($AB104=1,Processed_Data!C104="Maria.B"),Processed_Data!L104/100,NA())</f>
        <v>0</v>
      </c>
      <c r="Y104" s="4" t="e">
        <f>IF(AND($AB104=1,Processed_Data!C104="Sana Safinaz"),Processed_Data!J104,NA())</f>
        <v>#N/A</v>
      </c>
      <c r="Z104" s="8" t="e">
        <f>IF(AND($AB104=1,Processed_Data!C104="Sana Safinaz"),Processed_Data!L104/100,NA())</f>
        <v>#N/A</v>
      </c>
      <c r="AB104">
        <f>--AND(OR($B$2="All",Processed_Data!C104=$B$2),OR($B$3="All",Processed_Data!F104=$B$3),OR($B$4="All",Processed_Data!G104=$B$4),OR($B$5="All",Processed_Data!H104=$B$5),OR($B$6="All",Processed_Data!R104=$B$6),OR($B$7="All",Processed_Data!N104=$B$7))</f>
        <v>1</v>
      </c>
      <c r="AC104">
        <f>IF($AB104=1,Processed_Data!J104,"")</f>
        <v>35990</v>
      </c>
      <c r="AD104">
        <f>IF($AB104=1,Processed_Data!L104,0)</f>
        <v>0</v>
      </c>
      <c r="AE104">
        <f>IF($AB104=1,--(Processed_Data!M104="On Sale"),0)</f>
        <v>0</v>
      </c>
      <c r="AF104" t="str">
        <f>IF(AND($AB104=1,Processed_Data!C104="J."),Processed_Data!J104,"")</f>
        <v/>
      </c>
      <c r="AG104">
        <f>IF(AND($AB104=1,Processed_Data!C104="Maria.B"),Processed_Data!J104,"")</f>
        <v>35990</v>
      </c>
      <c r="AH104" t="str">
        <f>IF(AND($AB104=1,Processed_Data!C104="Sana Safinaz"),Processed_Data!J104,"")</f>
        <v/>
      </c>
      <c r="AI104">
        <f>IF(AND($AB104=1,Processed_Data!C104="J."),Processed_Data!L104,0)</f>
        <v>0</v>
      </c>
      <c r="AJ104">
        <f>IF(AND($AB104=1,Processed_Data!C104="Maria.B"),Processed_Data!L104,0)</f>
        <v>0</v>
      </c>
      <c r="AK104">
        <f>IF(AND($AB104=1,Processed_Data!C104="Sana Safinaz"),Processed_Data!L104,0)</f>
        <v>0</v>
      </c>
    </row>
    <row r="105" spans="21:37">
      <c r="U105" s="4" t="e">
        <f>IF(AND($AB105=1,Processed_Data!C105="J."),Processed_Data!J105,NA())</f>
        <v>#N/A</v>
      </c>
      <c r="V105" s="8" t="e">
        <f>IF(AND($AB105=1,Processed_Data!C105="J."),Processed_Data!L105/100,NA())</f>
        <v>#N/A</v>
      </c>
      <c r="W105" s="4">
        <f>IF(AND($AB105=1,Processed_Data!C105="Maria.B"),Processed_Data!J105,NA())</f>
        <v>35990</v>
      </c>
      <c r="X105" s="8">
        <f>IF(AND($AB105=1,Processed_Data!C105="Maria.B"),Processed_Data!L105/100,NA())</f>
        <v>0</v>
      </c>
      <c r="Y105" s="4" t="e">
        <f>IF(AND($AB105=1,Processed_Data!C105="Sana Safinaz"),Processed_Data!J105,NA())</f>
        <v>#N/A</v>
      </c>
      <c r="Z105" s="8" t="e">
        <f>IF(AND($AB105=1,Processed_Data!C105="Sana Safinaz"),Processed_Data!L105/100,NA())</f>
        <v>#N/A</v>
      </c>
      <c r="AB105">
        <f>--AND(OR($B$2="All",Processed_Data!C105=$B$2),OR($B$3="All",Processed_Data!F105=$B$3),OR($B$4="All",Processed_Data!G105=$B$4),OR($B$5="All",Processed_Data!H105=$B$5),OR($B$6="All",Processed_Data!R105=$B$6),OR($B$7="All",Processed_Data!N105=$B$7))</f>
        <v>1</v>
      </c>
      <c r="AC105">
        <f>IF($AB105=1,Processed_Data!J105,"")</f>
        <v>35990</v>
      </c>
      <c r="AD105">
        <f>IF($AB105=1,Processed_Data!L105,0)</f>
        <v>0</v>
      </c>
      <c r="AE105">
        <f>IF($AB105=1,--(Processed_Data!M105="On Sale"),0)</f>
        <v>0</v>
      </c>
      <c r="AF105" t="str">
        <f>IF(AND($AB105=1,Processed_Data!C105="J."),Processed_Data!J105,"")</f>
        <v/>
      </c>
      <c r="AG105">
        <f>IF(AND($AB105=1,Processed_Data!C105="Maria.B"),Processed_Data!J105,"")</f>
        <v>35990</v>
      </c>
      <c r="AH105" t="str">
        <f>IF(AND($AB105=1,Processed_Data!C105="Sana Safinaz"),Processed_Data!J105,"")</f>
        <v/>
      </c>
      <c r="AI105">
        <f>IF(AND($AB105=1,Processed_Data!C105="J."),Processed_Data!L105,0)</f>
        <v>0</v>
      </c>
      <c r="AJ105">
        <f>IF(AND($AB105=1,Processed_Data!C105="Maria.B"),Processed_Data!L105,0)</f>
        <v>0</v>
      </c>
      <c r="AK105">
        <f>IF(AND($AB105=1,Processed_Data!C105="Sana Safinaz"),Processed_Data!L105,0)</f>
        <v>0</v>
      </c>
    </row>
    <row r="106" spans="21:37">
      <c r="U106" s="4" t="e">
        <f>IF(AND($AB106=1,Processed_Data!C106="J."),Processed_Data!J106,NA())</f>
        <v>#N/A</v>
      </c>
      <c r="V106" s="8" t="e">
        <f>IF(AND($AB106=1,Processed_Data!C106="J."),Processed_Data!L106/100,NA())</f>
        <v>#N/A</v>
      </c>
      <c r="W106" s="4">
        <f>IF(AND($AB106=1,Processed_Data!C106="Maria.B"),Processed_Data!J106,NA())</f>
        <v>35990</v>
      </c>
      <c r="X106" s="8">
        <f>IF(AND($AB106=1,Processed_Data!C106="Maria.B"),Processed_Data!L106/100,NA())</f>
        <v>0</v>
      </c>
      <c r="Y106" s="4" t="e">
        <f>IF(AND($AB106=1,Processed_Data!C106="Sana Safinaz"),Processed_Data!J106,NA())</f>
        <v>#N/A</v>
      </c>
      <c r="Z106" s="8" t="e">
        <f>IF(AND($AB106=1,Processed_Data!C106="Sana Safinaz"),Processed_Data!L106/100,NA())</f>
        <v>#N/A</v>
      </c>
      <c r="AB106">
        <f>--AND(OR($B$2="All",Processed_Data!C106=$B$2),OR($B$3="All",Processed_Data!F106=$B$3),OR($B$4="All",Processed_Data!G106=$B$4),OR($B$5="All",Processed_Data!H106=$B$5),OR($B$6="All",Processed_Data!R106=$B$6),OR($B$7="All",Processed_Data!N106=$B$7))</f>
        <v>1</v>
      </c>
      <c r="AC106">
        <f>IF($AB106=1,Processed_Data!J106,"")</f>
        <v>35990</v>
      </c>
      <c r="AD106">
        <f>IF($AB106=1,Processed_Data!L106,0)</f>
        <v>0</v>
      </c>
      <c r="AE106">
        <f>IF($AB106=1,--(Processed_Data!M106="On Sale"),0)</f>
        <v>0</v>
      </c>
      <c r="AF106" t="str">
        <f>IF(AND($AB106=1,Processed_Data!C106="J."),Processed_Data!J106,"")</f>
        <v/>
      </c>
      <c r="AG106">
        <f>IF(AND($AB106=1,Processed_Data!C106="Maria.B"),Processed_Data!J106,"")</f>
        <v>35990</v>
      </c>
      <c r="AH106" t="str">
        <f>IF(AND($AB106=1,Processed_Data!C106="Sana Safinaz"),Processed_Data!J106,"")</f>
        <v/>
      </c>
      <c r="AI106">
        <f>IF(AND($AB106=1,Processed_Data!C106="J."),Processed_Data!L106,0)</f>
        <v>0</v>
      </c>
      <c r="AJ106">
        <f>IF(AND($AB106=1,Processed_Data!C106="Maria.B"),Processed_Data!L106,0)</f>
        <v>0</v>
      </c>
      <c r="AK106">
        <f>IF(AND($AB106=1,Processed_Data!C106="Sana Safinaz"),Processed_Data!L106,0)</f>
        <v>0</v>
      </c>
    </row>
    <row r="107" spans="21:37">
      <c r="U107" s="4" t="e">
        <f>IF(AND($AB107=1,Processed_Data!C107="J."),Processed_Data!J107,NA())</f>
        <v>#N/A</v>
      </c>
      <c r="V107" s="8" t="e">
        <f>IF(AND($AB107=1,Processed_Data!C107="J."),Processed_Data!L107/100,NA())</f>
        <v>#N/A</v>
      </c>
      <c r="W107" s="4">
        <f>IF(AND($AB107=1,Processed_Data!C107="Maria.B"),Processed_Data!J107,NA())</f>
        <v>33990</v>
      </c>
      <c r="X107" s="8">
        <f>IF(AND($AB107=1,Processed_Data!C107="Maria.B"),Processed_Data!L107/100,NA())</f>
        <v>0</v>
      </c>
      <c r="Y107" s="4" t="e">
        <f>IF(AND($AB107=1,Processed_Data!C107="Sana Safinaz"),Processed_Data!J107,NA())</f>
        <v>#N/A</v>
      </c>
      <c r="Z107" s="8" t="e">
        <f>IF(AND($AB107=1,Processed_Data!C107="Sana Safinaz"),Processed_Data!L107/100,NA())</f>
        <v>#N/A</v>
      </c>
      <c r="AB107">
        <f>--AND(OR($B$2="All",Processed_Data!C107=$B$2),OR($B$3="All",Processed_Data!F107=$B$3),OR($B$4="All",Processed_Data!G107=$B$4),OR($B$5="All",Processed_Data!H107=$B$5),OR($B$6="All",Processed_Data!R107=$B$6),OR($B$7="All",Processed_Data!N107=$B$7))</f>
        <v>1</v>
      </c>
      <c r="AC107">
        <f>IF($AB107=1,Processed_Data!J107,"")</f>
        <v>33990</v>
      </c>
      <c r="AD107">
        <f>IF($AB107=1,Processed_Data!L107,0)</f>
        <v>0</v>
      </c>
      <c r="AE107">
        <f>IF($AB107=1,--(Processed_Data!M107="On Sale"),0)</f>
        <v>0</v>
      </c>
      <c r="AF107" t="str">
        <f>IF(AND($AB107=1,Processed_Data!C107="J."),Processed_Data!J107,"")</f>
        <v/>
      </c>
      <c r="AG107">
        <f>IF(AND($AB107=1,Processed_Data!C107="Maria.B"),Processed_Data!J107,"")</f>
        <v>33990</v>
      </c>
      <c r="AH107" t="str">
        <f>IF(AND($AB107=1,Processed_Data!C107="Sana Safinaz"),Processed_Data!J107,"")</f>
        <v/>
      </c>
      <c r="AI107">
        <f>IF(AND($AB107=1,Processed_Data!C107="J."),Processed_Data!L107,0)</f>
        <v>0</v>
      </c>
      <c r="AJ107">
        <f>IF(AND($AB107=1,Processed_Data!C107="Maria.B"),Processed_Data!L107,0)</f>
        <v>0</v>
      </c>
      <c r="AK107">
        <f>IF(AND($AB107=1,Processed_Data!C107="Sana Safinaz"),Processed_Data!L107,0)</f>
        <v>0</v>
      </c>
    </row>
    <row r="108" spans="21:37">
      <c r="U108" s="4" t="e">
        <f>IF(AND($AB108=1,Processed_Data!C108="J."),Processed_Data!J108,NA())</f>
        <v>#N/A</v>
      </c>
      <c r="V108" s="8" t="e">
        <f>IF(AND($AB108=1,Processed_Data!C108="J."),Processed_Data!L108/100,NA())</f>
        <v>#N/A</v>
      </c>
      <c r="W108" s="4">
        <f>IF(AND($AB108=1,Processed_Data!C108="Maria.B"),Processed_Data!J108,NA())</f>
        <v>17990</v>
      </c>
      <c r="X108" s="8">
        <f>IF(AND($AB108=1,Processed_Data!C108="Maria.B"),Processed_Data!L108/100,NA())</f>
        <v>0</v>
      </c>
      <c r="Y108" s="4" t="e">
        <f>IF(AND($AB108=1,Processed_Data!C108="Sana Safinaz"),Processed_Data!J108,NA())</f>
        <v>#N/A</v>
      </c>
      <c r="Z108" s="8" t="e">
        <f>IF(AND($AB108=1,Processed_Data!C108="Sana Safinaz"),Processed_Data!L108/100,NA())</f>
        <v>#N/A</v>
      </c>
      <c r="AB108">
        <f>--AND(OR($B$2="All",Processed_Data!C108=$B$2),OR($B$3="All",Processed_Data!F108=$B$3),OR($B$4="All",Processed_Data!G108=$B$4),OR($B$5="All",Processed_Data!H108=$B$5),OR($B$6="All",Processed_Data!R108=$B$6),OR($B$7="All",Processed_Data!N108=$B$7))</f>
        <v>1</v>
      </c>
      <c r="AC108">
        <f>IF($AB108=1,Processed_Data!J108,"")</f>
        <v>17990</v>
      </c>
      <c r="AD108">
        <f>IF($AB108=1,Processed_Data!L108,0)</f>
        <v>0</v>
      </c>
      <c r="AE108">
        <f>IF($AB108=1,--(Processed_Data!M108="On Sale"),0)</f>
        <v>0</v>
      </c>
      <c r="AF108" t="str">
        <f>IF(AND($AB108=1,Processed_Data!C108="J."),Processed_Data!J108,"")</f>
        <v/>
      </c>
      <c r="AG108">
        <f>IF(AND($AB108=1,Processed_Data!C108="Maria.B"),Processed_Data!J108,"")</f>
        <v>17990</v>
      </c>
      <c r="AH108" t="str">
        <f>IF(AND($AB108=1,Processed_Data!C108="Sana Safinaz"),Processed_Data!J108,"")</f>
        <v/>
      </c>
      <c r="AI108">
        <f>IF(AND($AB108=1,Processed_Data!C108="J."),Processed_Data!L108,0)</f>
        <v>0</v>
      </c>
      <c r="AJ108">
        <f>IF(AND($AB108=1,Processed_Data!C108="Maria.B"),Processed_Data!L108,0)</f>
        <v>0</v>
      </c>
      <c r="AK108">
        <f>IF(AND($AB108=1,Processed_Data!C108="Sana Safinaz"),Processed_Data!L108,0)</f>
        <v>0</v>
      </c>
    </row>
    <row r="109" spans="21:37">
      <c r="U109" s="4" t="e">
        <f>IF(AND($AB109=1,Processed_Data!C109="J."),Processed_Data!J109,NA())</f>
        <v>#N/A</v>
      </c>
      <c r="V109" s="8" t="e">
        <f>IF(AND($AB109=1,Processed_Data!C109="J."),Processed_Data!L109/100,NA())</f>
        <v>#N/A</v>
      </c>
      <c r="W109" s="4">
        <f>IF(AND($AB109=1,Processed_Data!C109="Maria.B"),Processed_Data!J109,NA())</f>
        <v>18790</v>
      </c>
      <c r="X109" s="8">
        <f>IF(AND($AB109=1,Processed_Data!C109="Maria.B"),Processed_Data!L109/100,NA())</f>
        <v>0</v>
      </c>
      <c r="Y109" s="4" t="e">
        <f>IF(AND($AB109=1,Processed_Data!C109="Sana Safinaz"),Processed_Data!J109,NA())</f>
        <v>#N/A</v>
      </c>
      <c r="Z109" s="8" t="e">
        <f>IF(AND($AB109=1,Processed_Data!C109="Sana Safinaz"),Processed_Data!L109/100,NA())</f>
        <v>#N/A</v>
      </c>
      <c r="AB109">
        <f>--AND(OR($B$2="All",Processed_Data!C109=$B$2),OR($B$3="All",Processed_Data!F109=$B$3),OR($B$4="All",Processed_Data!G109=$B$4),OR($B$5="All",Processed_Data!H109=$B$5),OR($B$6="All",Processed_Data!R109=$B$6),OR($B$7="All",Processed_Data!N109=$B$7))</f>
        <v>1</v>
      </c>
      <c r="AC109">
        <f>IF($AB109=1,Processed_Data!J109,"")</f>
        <v>18790</v>
      </c>
      <c r="AD109">
        <f>IF($AB109=1,Processed_Data!L109,0)</f>
        <v>0</v>
      </c>
      <c r="AE109">
        <f>IF($AB109=1,--(Processed_Data!M109="On Sale"),0)</f>
        <v>0</v>
      </c>
      <c r="AF109" t="str">
        <f>IF(AND($AB109=1,Processed_Data!C109="J."),Processed_Data!J109,"")</f>
        <v/>
      </c>
      <c r="AG109">
        <f>IF(AND($AB109=1,Processed_Data!C109="Maria.B"),Processed_Data!J109,"")</f>
        <v>18790</v>
      </c>
      <c r="AH109" t="str">
        <f>IF(AND($AB109=1,Processed_Data!C109="Sana Safinaz"),Processed_Data!J109,"")</f>
        <v/>
      </c>
      <c r="AI109">
        <f>IF(AND($AB109=1,Processed_Data!C109="J."),Processed_Data!L109,0)</f>
        <v>0</v>
      </c>
      <c r="AJ109">
        <f>IF(AND($AB109=1,Processed_Data!C109="Maria.B"),Processed_Data!L109,0)</f>
        <v>0</v>
      </c>
      <c r="AK109">
        <f>IF(AND($AB109=1,Processed_Data!C109="Sana Safinaz"),Processed_Data!L109,0)</f>
        <v>0</v>
      </c>
    </row>
    <row r="110" spans="21:37">
      <c r="U110" s="4" t="e">
        <f>IF(AND($AB110=1,Processed_Data!C110="J."),Processed_Data!J110,NA())</f>
        <v>#N/A</v>
      </c>
      <c r="V110" s="8" t="e">
        <f>IF(AND($AB110=1,Processed_Data!C110="J."),Processed_Data!L110/100,NA())</f>
        <v>#N/A</v>
      </c>
      <c r="W110" s="4">
        <f>IF(AND($AB110=1,Processed_Data!C110="Maria.B"),Processed_Data!J110,NA())</f>
        <v>18790</v>
      </c>
      <c r="X110" s="8">
        <f>IF(AND($AB110=1,Processed_Data!C110="Maria.B"),Processed_Data!L110/100,NA())</f>
        <v>0</v>
      </c>
      <c r="Y110" s="4" t="e">
        <f>IF(AND($AB110=1,Processed_Data!C110="Sana Safinaz"),Processed_Data!J110,NA())</f>
        <v>#N/A</v>
      </c>
      <c r="Z110" s="8" t="e">
        <f>IF(AND($AB110=1,Processed_Data!C110="Sana Safinaz"),Processed_Data!L110/100,NA())</f>
        <v>#N/A</v>
      </c>
      <c r="AB110">
        <f>--AND(OR($B$2="All",Processed_Data!C110=$B$2),OR($B$3="All",Processed_Data!F110=$B$3),OR($B$4="All",Processed_Data!G110=$B$4),OR($B$5="All",Processed_Data!H110=$B$5),OR($B$6="All",Processed_Data!R110=$B$6),OR($B$7="All",Processed_Data!N110=$B$7))</f>
        <v>1</v>
      </c>
      <c r="AC110">
        <f>IF($AB110=1,Processed_Data!J110,"")</f>
        <v>18790</v>
      </c>
      <c r="AD110">
        <f>IF($AB110=1,Processed_Data!L110,0)</f>
        <v>0</v>
      </c>
      <c r="AE110">
        <f>IF($AB110=1,--(Processed_Data!M110="On Sale"),0)</f>
        <v>0</v>
      </c>
      <c r="AF110" t="str">
        <f>IF(AND($AB110=1,Processed_Data!C110="J."),Processed_Data!J110,"")</f>
        <v/>
      </c>
      <c r="AG110">
        <f>IF(AND($AB110=1,Processed_Data!C110="Maria.B"),Processed_Data!J110,"")</f>
        <v>18790</v>
      </c>
      <c r="AH110" t="str">
        <f>IF(AND($AB110=1,Processed_Data!C110="Sana Safinaz"),Processed_Data!J110,"")</f>
        <v/>
      </c>
      <c r="AI110">
        <f>IF(AND($AB110=1,Processed_Data!C110="J."),Processed_Data!L110,0)</f>
        <v>0</v>
      </c>
      <c r="AJ110">
        <f>IF(AND($AB110=1,Processed_Data!C110="Maria.B"),Processed_Data!L110,0)</f>
        <v>0</v>
      </c>
      <c r="AK110">
        <f>IF(AND($AB110=1,Processed_Data!C110="Sana Safinaz"),Processed_Data!L110,0)</f>
        <v>0</v>
      </c>
    </row>
    <row r="111" spans="21:37">
      <c r="U111" s="4" t="e">
        <f>IF(AND($AB111=1,Processed_Data!C111="J."),Processed_Data!J111,NA())</f>
        <v>#N/A</v>
      </c>
      <c r="V111" s="8" t="e">
        <f>IF(AND($AB111=1,Processed_Data!C111="J."),Processed_Data!L111/100,NA())</f>
        <v>#N/A</v>
      </c>
      <c r="W111" s="4">
        <f>IF(AND($AB111=1,Processed_Data!C111="Maria.B"),Processed_Data!J111,NA())</f>
        <v>19490</v>
      </c>
      <c r="X111" s="8">
        <f>IF(AND($AB111=1,Processed_Data!C111="Maria.B"),Processed_Data!L111/100,NA())</f>
        <v>0</v>
      </c>
      <c r="Y111" s="4" t="e">
        <f>IF(AND($AB111=1,Processed_Data!C111="Sana Safinaz"),Processed_Data!J111,NA())</f>
        <v>#N/A</v>
      </c>
      <c r="Z111" s="8" t="e">
        <f>IF(AND($AB111=1,Processed_Data!C111="Sana Safinaz"),Processed_Data!L111/100,NA())</f>
        <v>#N/A</v>
      </c>
      <c r="AB111">
        <f>--AND(OR($B$2="All",Processed_Data!C111=$B$2),OR($B$3="All",Processed_Data!F111=$B$3),OR($B$4="All",Processed_Data!G111=$B$4),OR($B$5="All",Processed_Data!H111=$B$5),OR($B$6="All",Processed_Data!R111=$B$6),OR($B$7="All",Processed_Data!N111=$B$7))</f>
        <v>1</v>
      </c>
      <c r="AC111">
        <f>IF($AB111=1,Processed_Data!J111,"")</f>
        <v>19490</v>
      </c>
      <c r="AD111">
        <f>IF($AB111=1,Processed_Data!L111,0)</f>
        <v>0</v>
      </c>
      <c r="AE111">
        <f>IF($AB111=1,--(Processed_Data!M111="On Sale"),0)</f>
        <v>0</v>
      </c>
      <c r="AF111" t="str">
        <f>IF(AND($AB111=1,Processed_Data!C111="J."),Processed_Data!J111,"")</f>
        <v/>
      </c>
      <c r="AG111">
        <f>IF(AND($AB111=1,Processed_Data!C111="Maria.B"),Processed_Data!J111,"")</f>
        <v>19490</v>
      </c>
      <c r="AH111" t="str">
        <f>IF(AND($AB111=1,Processed_Data!C111="Sana Safinaz"),Processed_Data!J111,"")</f>
        <v/>
      </c>
      <c r="AI111">
        <f>IF(AND($AB111=1,Processed_Data!C111="J."),Processed_Data!L111,0)</f>
        <v>0</v>
      </c>
      <c r="AJ111">
        <f>IF(AND($AB111=1,Processed_Data!C111="Maria.B"),Processed_Data!L111,0)</f>
        <v>0</v>
      </c>
      <c r="AK111">
        <f>IF(AND($AB111=1,Processed_Data!C111="Sana Safinaz"),Processed_Data!L111,0)</f>
        <v>0</v>
      </c>
    </row>
    <row r="112" spans="21:37">
      <c r="U112" s="4" t="e">
        <f>IF(AND($AB112=1,Processed_Data!C112="J."),Processed_Data!J112,NA())</f>
        <v>#N/A</v>
      </c>
      <c r="V112" s="8" t="e">
        <f>IF(AND($AB112=1,Processed_Data!C112="J."),Processed_Data!L112/100,NA())</f>
        <v>#N/A</v>
      </c>
      <c r="W112" s="4">
        <f>IF(AND($AB112=1,Processed_Data!C112="Maria.B"),Processed_Data!J112,NA())</f>
        <v>17990</v>
      </c>
      <c r="X112" s="8">
        <f>IF(AND($AB112=1,Processed_Data!C112="Maria.B"),Processed_Data!L112/100,NA())</f>
        <v>0</v>
      </c>
      <c r="Y112" s="4" t="e">
        <f>IF(AND($AB112=1,Processed_Data!C112="Sana Safinaz"),Processed_Data!J112,NA())</f>
        <v>#N/A</v>
      </c>
      <c r="Z112" s="8" t="e">
        <f>IF(AND($AB112=1,Processed_Data!C112="Sana Safinaz"),Processed_Data!L112/100,NA())</f>
        <v>#N/A</v>
      </c>
      <c r="AB112">
        <f>--AND(OR($B$2="All",Processed_Data!C112=$B$2),OR($B$3="All",Processed_Data!F112=$B$3),OR($B$4="All",Processed_Data!G112=$B$4),OR($B$5="All",Processed_Data!H112=$B$5),OR($B$6="All",Processed_Data!R112=$B$6),OR($B$7="All",Processed_Data!N112=$B$7))</f>
        <v>1</v>
      </c>
      <c r="AC112">
        <f>IF($AB112=1,Processed_Data!J112,"")</f>
        <v>17990</v>
      </c>
      <c r="AD112">
        <f>IF($AB112=1,Processed_Data!L112,0)</f>
        <v>0</v>
      </c>
      <c r="AE112">
        <f>IF($AB112=1,--(Processed_Data!M112="On Sale"),0)</f>
        <v>0</v>
      </c>
      <c r="AF112" t="str">
        <f>IF(AND($AB112=1,Processed_Data!C112="J."),Processed_Data!J112,"")</f>
        <v/>
      </c>
      <c r="AG112">
        <f>IF(AND($AB112=1,Processed_Data!C112="Maria.B"),Processed_Data!J112,"")</f>
        <v>17990</v>
      </c>
      <c r="AH112" t="str">
        <f>IF(AND($AB112=1,Processed_Data!C112="Sana Safinaz"),Processed_Data!J112,"")</f>
        <v/>
      </c>
      <c r="AI112">
        <f>IF(AND($AB112=1,Processed_Data!C112="J."),Processed_Data!L112,0)</f>
        <v>0</v>
      </c>
      <c r="AJ112">
        <f>IF(AND($AB112=1,Processed_Data!C112="Maria.B"),Processed_Data!L112,0)</f>
        <v>0</v>
      </c>
      <c r="AK112">
        <f>IF(AND($AB112=1,Processed_Data!C112="Sana Safinaz"),Processed_Data!L112,0)</f>
        <v>0</v>
      </c>
    </row>
    <row r="113" spans="21:37">
      <c r="U113" s="4" t="e">
        <f>IF(AND($AB113=1,Processed_Data!C113="J."),Processed_Data!J113,NA())</f>
        <v>#N/A</v>
      </c>
      <c r="V113" s="8" t="e">
        <f>IF(AND($AB113=1,Processed_Data!C113="J."),Processed_Data!L113/100,NA())</f>
        <v>#N/A</v>
      </c>
      <c r="W113" s="4">
        <f>IF(AND($AB113=1,Processed_Data!C113="Maria.B"),Processed_Data!J113,NA())</f>
        <v>19490</v>
      </c>
      <c r="X113" s="8">
        <f>IF(AND($AB113=1,Processed_Data!C113="Maria.B"),Processed_Data!L113/100,NA())</f>
        <v>0</v>
      </c>
      <c r="Y113" s="4" t="e">
        <f>IF(AND($AB113=1,Processed_Data!C113="Sana Safinaz"),Processed_Data!J113,NA())</f>
        <v>#N/A</v>
      </c>
      <c r="Z113" s="8" t="e">
        <f>IF(AND($AB113=1,Processed_Data!C113="Sana Safinaz"),Processed_Data!L113/100,NA())</f>
        <v>#N/A</v>
      </c>
      <c r="AB113">
        <f>--AND(OR($B$2="All",Processed_Data!C113=$B$2),OR($B$3="All",Processed_Data!F113=$B$3),OR($B$4="All",Processed_Data!G113=$B$4),OR($B$5="All",Processed_Data!H113=$B$5),OR($B$6="All",Processed_Data!R113=$B$6),OR($B$7="All",Processed_Data!N113=$B$7))</f>
        <v>1</v>
      </c>
      <c r="AC113">
        <f>IF($AB113=1,Processed_Data!J113,"")</f>
        <v>19490</v>
      </c>
      <c r="AD113">
        <f>IF($AB113=1,Processed_Data!L113,0)</f>
        <v>0</v>
      </c>
      <c r="AE113">
        <f>IF($AB113=1,--(Processed_Data!M113="On Sale"),0)</f>
        <v>0</v>
      </c>
      <c r="AF113" t="str">
        <f>IF(AND($AB113=1,Processed_Data!C113="J."),Processed_Data!J113,"")</f>
        <v/>
      </c>
      <c r="AG113">
        <f>IF(AND($AB113=1,Processed_Data!C113="Maria.B"),Processed_Data!J113,"")</f>
        <v>19490</v>
      </c>
      <c r="AH113" t="str">
        <f>IF(AND($AB113=1,Processed_Data!C113="Sana Safinaz"),Processed_Data!J113,"")</f>
        <v/>
      </c>
      <c r="AI113">
        <f>IF(AND($AB113=1,Processed_Data!C113="J."),Processed_Data!L113,0)</f>
        <v>0</v>
      </c>
      <c r="AJ113">
        <f>IF(AND($AB113=1,Processed_Data!C113="Maria.B"),Processed_Data!L113,0)</f>
        <v>0</v>
      </c>
      <c r="AK113">
        <f>IF(AND($AB113=1,Processed_Data!C113="Sana Safinaz"),Processed_Data!L113,0)</f>
        <v>0</v>
      </c>
    </row>
    <row r="114" spans="21:37">
      <c r="U114" s="4" t="e">
        <f>IF(AND($AB114=1,Processed_Data!C114="J."),Processed_Data!J114,NA())</f>
        <v>#N/A</v>
      </c>
      <c r="V114" s="8" t="e">
        <f>IF(AND($AB114=1,Processed_Data!C114="J."),Processed_Data!L114/100,NA())</f>
        <v>#N/A</v>
      </c>
      <c r="W114" s="4">
        <f>IF(AND($AB114=1,Processed_Data!C114="Maria.B"),Processed_Data!J114,NA())</f>
        <v>17990</v>
      </c>
      <c r="X114" s="8">
        <f>IF(AND($AB114=1,Processed_Data!C114="Maria.B"),Processed_Data!L114/100,NA())</f>
        <v>0</v>
      </c>
      <c r="Y114" s="4" t="e">
        <f>IF(AND($AB114=1,Processed_Data!C114="Sana Safinaz"),Processed_Data!J114,NA())</f>
        <v>#N/A</v>
      </c>
      <c r="Z114" s="8" t="e">
        <f>IF(AND($AB114=1,Processed_Data!C114="Sana Safinaz"),Processed_Data!L114/100,NA())</f>
        <v>#N/A</v>
      </c>
      <c r="AB114">
        <f>--AND(OR($B$2="All",Processed_Data!C114=$B$2),OR($B$3="All",Processed_Data!F114=$B$3),OR($B$4="All",Processed_Data!G114=$B$4),OR($B$5="All",Processed_Data!H114=$B$5),OR($B$6="All",Processed_Data!R114=$B$6),OR($B$7="All",Processed_Data!N114=$B$7))</f>
        <v>1</v>
      </c>
      <c r="AC114">
        <f>IF($AB114=1,Processed_Data!J114,"")</f>
        <v>17990</v>
      </c>
      <c r="AD114">
        <f>IF($AB114=1,Processed_Data!L114,0)</f>
        <v>0</v>
      </c>
      <c r="AE114">
        <f>IF($AB114=1,--(Processed_Data!M114="On Sale"),0)</f>
        <v>0</v>
      </c>
      <c r="AF114" t="str">
        <f>IF(AND($AB114=1,Processed_Data!C114="J."),Processed_Data!J114,"")</f>
        <v/>
      </c>
      <c r="AG114">
        <f>IF(AND($AB114=1,Processed_Data!C114="Maria.B"),Processed_Data!J114,"")</f>
        <v>17990</v>
      </c>
      <c r="AH114" t="str">
        <f>IF(AND($AB114=1,Processed_Data!C114="Sana Safinaz"),Processed_Data!J114,"")</f>
        <v/>
      </c>
      <c r="AI114">
        <f>IF(AND($AB114=1,Processed_Data!C114="J."),Processed_Data!L114,0)</f>
        <v>0</v>
      </c>
      <c r="AJ114">
        <f>IF(AND($AB114=1,Processed_Data!C114="Maria.B"),Processed_Data!L114,0)</f>
        <v>0</v>
      </c>
      <c r="AK114">
        <f>IF(AND($AB114=1,Processed_Data!C114="Sana Safinaz"),Processed_Data!L114,0)</f>
        <v>0</v>
      </c>
    </row>
    <row r="115" spans="21:37">
      <c r="U115" s="4" t="e">
        <f>IF(AND($AB115=1,Processed_Data!C115="J."),Processed_Data!J115,NA())</f>
        <v>#N/A</v>
      </c>
      <c r="V115" s="8" t="e">
        <f>IF(AND($AB115=1,Processed_Data!C115="J."),Processed_Data!L115/100,NA())</f>
        <v>#N/A</v>
      </c>
      <c r="W115" s="4">
        <f>IF(AND($AB115=1,Processed_Data!C115="Maria.B"),Processed_Data!J115,NA())</f>
        <v>19490</v>
      </c>
      <c r="X115" s="8">
        <f>IF(AND($AB115=1,Processed_Data!C115="Maria.B"),Processed_Data!L115/100,NA())</f>
        <v>0</v>
      </c>
      <c r="Y115" s="4" t="e">
        <f>IF(AND($AB115=1,Processed_Data!C115="Sana Safinaz"),Processed_Data!J115,NA())</f>
        <v>#N/A</v>
      </c>
      <c r="Z115" s="8" t="e">
        <f>IF(AND($AB115=1,Processed_Data!C115="Sana Safinaz"),Processed_Data!L115/100,NA())</f>
        <v>#N/A</v>
      </c>
      <c r="AB115">
        <f>--AND(OR($B$2="All",Processed_Data!C115=$B$2),OR($B$3="All",Processed_Data!F115=$B$3),OR($B$4="All",Processed_Data!G115=$B$4),OR($B$5="All",Processed_Data!H115=$B$5),OR($B$6="All",Processed_Data!R115=$B$6),OR($B$7="All",Processed_Data!N115=$B$7))</f>
        <v>1</v>
      </c>
      <c r="AC115">
        <f>IF($AB115=1,Processed_Data!J115,"")</f>
        <v>19490</v>
      </c>
      <c r="AD115">
        <f>IF($AB115=1,Processed_Data!L115,0)</f>
        <v>0</v>
      </c>
      <c r="AE115">
        <f>IF($AB115=1,--(Processed_Data!M115="On Sale"),0)</f>
        <v>0</v>
      </c>
      <c r="AF115" t="str">
        <f>IF(AND($AB115=1,Processed_Data!C115="J."),Processed_Data!J115,"")</f>
        <v/>
      </c>
      <c r="AG115">
        <f>IF(AND($AB115=1,Processed_Data!C115="Maria.B"),Processed_Data!J115,"")</f>
        <v>19490</v>
      </c>
      <c r="AH115" t="str">
        <f>IF(AND($AB115=1,Processed_Data!C115="Sana Safinaz"),Processed_Data!J115,"")</f>
        <v/>
      </c>
      <c r="AI115">
        <f>IF(AND($AB115=1,Processed_Data!C115="J."),Processed_Data!L115,0)</f>
        <v>0</v>
      </c>
      <c r="AJ115">
        <f>IF(AND($AB115=1,Processed_Data!C115="Maria.B"),Processed_Data!L115,0)</f>
        <v>0</v>
      </c>
      <c r="AK115">
        <f>IF(AND($AB115=1,Processed_Data!C115="Sana Safinaz"),Processed_Data!L115,0)</f>
        <v>0</v>
      </c>
    </row>
    <row r="116" spans="21:37">
      <c r="U116" s="4" t="e">
        <f>IF(AND($AB116=1,Processed_Data!C116="J."),Processed_Data!J116,NA())</f>
        <v>#N/A</v>
      </c>
      <c r="V116" s="8" t="e">
        <f>IF(AND($AB116=1,Processed_Data!C116="J."),Processed_Data!L116/100,NA())</f>
        <v>#N/A</v>
      </c>
      <c r="W116" s="4">
        <f>IF(AND($AB116=1,Processed_Data!C116="Maria.B"),Processed_Data!J116,NA())</f>
        <v>19490</v>
      </c>
      <c r="X116" s="8">
        <f>IF(AND($AB116=1,Processed_Data!C116="Maria.B"),Processed_Data!L116/100,NA())</f>
        <v>0</v>
      </c>
      <c r="Y116" s="4" t="e">
        <f>IF(AND($AB116=1,Processed_Data!C116="Sana Safinaz"),Processed_Data!J116,NA())</f>
        <v>#N/A</v>
      </c>
      <c r="Z116" s="8" t="e">
        <f>IF(AND($AB116=1,Processed_Data!C116="Sana Safinaz"),Processed_Data!L116/100,NA())</f>
        <v>#N/A</v>
      </c>
      <c r="AB116">
        <f>--AND(OR($B$2="All",Processed_Data!C116=$B$2),OR($B$3="All",Processed_Data!F116=$B$3),OR($B$4="All",Processed_Data!G116=$B$4),OR($B$5="All",Processed_Data!H116=$B$5),OR($B$6="All",Processed_Data!R116=$B$6),OR($B$7="All",Processed_Data!N116=$B$7))</f>
        <v>1</v>
      </c>
      <c r="AC116">
        <f>IF($AB116=1,Processed_Data!J116,"")</f>
        <v>19490</v>
      </c>
      <c r="AD116">
        <f>IF($AB116=1,Processed_Data!L116,0)</f>
        <v>0</v>
      </c>
      <c r="AE116">
        <f>IF($AB116=1,--(Processed_Data!M116="On Sale"),0)</f>
        <v>0</v>
      </c>
      <c r="AF116" t="str">
        <f>IF(AND($AB116=1,Processed_Data!C116="J."),Processed_Data!J116,"")</f>
        <v/>
      </c>
      <c r="AG116">
        <f>IF(AND($AB116=1,Processed_Data!C116="Maria.B"),Processed_Data!J116,"")</f>
        <v>19490</v>
      </c>
      <c r="AH116" t="str">
        <f>IF(AND($AB116=1,Processed_Data!C116="Sana Safinaz"),Processed_Data!J116,"")</f>
        <v/>
      </c>
      <c r="AI116">
        <f>IF(AND($AB116=1,Processed_Data!C116="J."),Processed_Data!L116,0)</f>
        <v>0</v>
      </c>
      <c r="AJ116">
        <f>IF(AND($AB116=1,Processed_Data!C116="Maria.B"),Processed_Data!L116,0)</f>
        <v>0</v>
      </c>
      <c r="AK116">
        <f>IF(AND($AB116=1,Processed_Data!C116="Sana Safinaz"),Processed_Data!L116,0)</f>
        <v>0</v>
      </c>
    </row>
    <row r="117" spans="21:37">
      <c r="U117" s="4" t="e">
        <f>IF(AND($AB117=1,Processed_Data!C117="J."),Processed_Data!J117,NA())</f>
        <v>#N/A</v>
      </c>
      <c r="V117" s="8" t="e">
        <f>IF(AND($AB117=1,Processed_Data!C117="J."),Processed_Data!L117/100,NA())</f>
        <v>#N/A</v>
      </c>
      <c r="W117" s="4">
        <f>IF(AND($AB117=1,Processed_Data!C117="Maria.B"),Processed_Data!J117,NA())</f>
        <v>17990</v>
      </c>
      <c r="X117" s="8">
        <f>IF(AND($AB117=1,Processed_Data!C117="Maria.B"),Processed_Data!L117/100,NA())</f>
        <v>0</v>
      </c>
      <c r="Y117" s="4" t="e">
        <f>IF(AND($AB117=1,Processed_Data!C117="Sana Safinaz"),Processed_Data!J117,NA())</f>
        <v>#N/A</v>
      </c>
      <c r="Z117" s="8" t="e">
        <f>IF(AND($AB117=1,Processed_Data!C117="Sana Safinaz"),Processed_Data!L117/100,NA())</f>
        <v>#N/A</v>
      </c>
      <c r="AB117">
        <f>--AND(OR($B$2="All",Processed_Data!C117=$B$2),OR($B$3="All",Processed_Data!F117=$B$3),OR($B$4="All",Processed_Data!G117=$B$4),OR($B$5="All",Processed_Data!H117=$B$5),OR($B$6="All",Processed_Data!R117=$B$6),OR($B$7="All",Processed_Data!N117=$B$7))</f>
        <v>1</v>
      </c>
      <c r="AC117">
        <f>IF($AB117=1,Processed_Data!J117,"")</f>
        <v>17990</v>
      </c>
      <c r="AD117">
        <f>IF($AB117=1,Processed_Data!L117,0)</f>
        <v>0</v>
      </c>
      <c r="AE117">
        <f>IF($AB117=1,--(Processed_Data!M117="On Sale"),0)</f>
        <v>0</v>
      </c>
      <c r="AF117" t="str">
        <f>IF(AND($AB117=1,Processed_Data!C117="J."),Processed_Data!J117,"")</f>
        <v/>
      </c>
      <c r="AG117">
        <f>IF(AND($AB117=1,Processed_Data!C117="Maria.B"),Processed_Data!J117,"")</f>
        <v>17990</v>
      </c>
      <c r="AH117" t="str">
        <f>IF(AND($AB117=1,Processed_Data!C117="Sana Safinaz"),Processed_Data!J117,"")</f>
        <v/>
      </c>
      <c r="AI117">
        <f>IF(AND($AB117=1,Processed_Data!C117="J."),Processed_Data!L117,0)</f>
        <v>0</v>
      </c>
      <c r="AJ117">
        <f>IF(AND($AB117=1,Processed_Data!C117="Maria.B"),Processed_Data!L117,0)</f>
        <v>0</v>
      </c>
      <c r="AK117">
        <f>IF(AND($AB117=1,Processed_Data!C117="Sana Safinaz"),Processed_Data!L117,0)</f>
        <v>0</v>
      </c>
    </row>
    <row r="118" spans="21:37">
      <c r="U118" s="4" t="e">
        <f>IF(AND($AB118=1,Processed_Data!C118="J."),Processed_Data!J118,NA())</f>
        <v>#N/A</v>
      </c>
      <c r="V118" s="8" t="e">
        <f>IF(AND($AB118=1,Processed_Data!C118="J."),Processed_Data!L118/100,NA())</f>
        <v>#N/A</v>
      </c>
      <c r="W118" s="4">
        <f>IF(AND($AB118=1,Processed_Data!C118="Maria.B"),Processed_Data!J118,NA())</f>
        <v>18790</v>
      </c>
      <c r="X118" s="8">
        <f>IF(AND($AB118=1,Processed_Data!C118="Maria.B"),Processed_Data!L118/100,NA())</f>
        <v>0</v>
      </c>
      <c r="Y118" s="4" t="e">
        <f>IF(AND($AB118=1,Processed_Data!C118="Sana Safinaz"),Processed_Data!J118,NA())</f>
        <v>#N/A</v>
      </c>
      <c r="Z118" s="8" t="e">
        <f>IF(AND($AB118=1,Processed_Data!C118="Sana Safinaz"),Processed_Data!L118/100,NA())</f>
        <v>#N/A</v>
      </c>
      <c r="AB118">
        <f>--AND(OR($B$2="All",Processed_Data!C118=$B$2),OR($B$3="All",Processed_Data!F118=$B$3),OR($B$4="All",Processed_Data!G118=$B$4),OR($B$5="All",Processed_Data!H118=$B$5),OR($B$6="All",Processed_Data!R118=$B$6),OR($B$7="All",Processed_Data!N118=$B$7))</f>
        <v>1</v>
      </c>
      <c r="AC118">
        <f>IF($AB118=1,Processed_Data!J118,"")</f>
        <v>18790</v>
      </c>
      <c r="AD118">
        <f>IF($AB118=1,Processed_Data!L118,0)</f>
        <v>0</v>
      </c>
      <c r="AE118">
        <f>IF($AB118=1,--(Processed_Data!M118="On Sale"),0)</f>
        <v>0</v>
      </c>
      <c r="AF118" t="str">
        <f>IF(AND($AB118=1,Processed_Data!C118="J."),Processed_Data!J118,"")</f>
        <v/>
      </c>
      <c r="AG118">
        <f>IF(AND($AB118=1,Processed_Data!C118="Maria.B"),Processed_Data!J118,"")</f>
        <v>18790</v>
      </c>
      <c r="AH118" t="str">
        <f>IF(AND($AB118=1,Processed_Data!C118="Sana Safinaz"),Processed_Data!J118,"")</f>
        <v/>
      </c>
      <c r="AI118">
        <f>IF(AND($AB118=1,Processed_Data!C118="J."),Processed_Data!L118,0)</f>
        <v>0</v>
      </c>
      <c r="AJ118">
        <f>IF(AND($AB118=1,Processed_Data!C118="Maria.B"),Processed_Data!L118,0)</f>
        <v>0</v>
      </c>
      <c r="AK118">
        <f>IF(AND($AB118=1,Processed_Data!C118="Sana Safinaz"),Processed_Data!L118,0)</f>
        <v>0</v>
      </c>
    </row>
    <row r="119" spans="21:37">
      <c r="U119" s="4" t="e">
        <f>IF(AND($AB119=1,Processed_Data!C119="J."),Processed_Data!J119,NA())</f>
        <v>#N/A</v>
      </c>
      <c r="V119" s="8" t="e">
        <f>IF(AND($AB119=1,Processed_Data!C119="J."),Processed_Data!L119/100,NA())</f>
        <v>#N/A</v>
      </c>
      <c r="W119" s="4">
        <f>IF(AND($AB119=1,Processed_Data!C119="Maria.B"),Processed_Data!J119,NA())</f>
        <v>18790</v>
      </c>
      <c r="X119" s="8">
        <f>IF(AND($AB119=1,Processed_Data!C119="Maria.B"),Processed_Data!L119/100,NA())</f>
        <v>0</v>
      </c>
      <c r="Y119" s="4" t="e">
        <f>IF(AND($AB119=1,Processed_Data!C119="Sana Safinaz"),Processed_Data!J119,NA())</f>
        <v>#N/A</v>
      </c>
      <c r="Z119" s="8" t="e">
        <f>IF(AND($AB119=1,Processed_Data!C119="Sana Safinaz"),Processed_Data!L119/100,NA())</f>
        <v>#N/A</v>
      </c>
      <c r="AB119">
        <f>--AND(OR($B$2="All",Processed_Data!C119=$B$2),OR($B$3="All",Processed_Data!F119=$B$3),OR($B$4="All",Processed_Data!G119=$B$4),OR($B$5="All",Processed_Data!H119=$B$5),OR($B$6="All",Processed_Data!R119=$B$6),OR($B$7="All",Processed_Data!N119=$B$7))</f>
        <v>1</v>
      </c>
      <c r="AC119">
        <f>IF($AB119=1,Processed_Data!J119,"")</f>
        <v>18790</v>
      </c>
      <c r="AD119">
        <f>IF($AB119=1,Processed_Data!L119,0)</f>
        <v>0</v>
      </c>
      <c r="AE119">
        <f>IF($AB119=1,--(Processed_Data!M119="On Sale"),0)</f>
        <v>0</v>
      </c>
      <c r="AF119" t="str">
        <f>IF(AND($AB119=1,Processed_Data!C119="J."),Processed_Data!J119,"")</f>
        <v/>
      </c>
      <c r="AG119">
        <f>IF(AND($AB119=1,Processed_Data!C119="Maria.B"),Processed_Data!J119,"")</f>
        <v>18790</v>
      </c>
      <c r="AH119" t="str">
        <f>IF(AND($AB119=1,Processed_Data!C119="Sana Safinaz"),Processed_Data!J119,"")</f>
        <v/>
      </c>
      <c r="AI119">
        <f>IF(AND($AB119=1,Processed_Data!C119="J."),Processed_Data!L119,0)</f>
        <v>0</v>
      </c>
      <c r="AJ119">
        <f>IF(AND($AB119=1,Processed_Data!C119="Maria.B"),Processed_Data!L119,0)</f>
        <v>0</v>
      </c>
      <c r="AK119">
        <f>IF(AND($AB119=1,Processed_Data!C119="Sana Safinaz"),Processed_Data!L119,0)</f>
        <v>0</v>
      </c>
    </row>
    <row r="120" spans="21:37">
      <c r="U120" s="4" t="e">
        <f>IF(AND($AB120=1,Processed_Data!C120="J."),Processed_Data!J120,NA())</f>
        <v>#N/A</v>
      </c>
      <c r="V120" s="8" t="e">
        <f>IF(AND($AB120=1,Processed_Data!C120="J."),Processed_Data!L120/100,NA())</f>
        <v>#N/A</v>
      </c>
      <c r="W120" s="4">
        <f>IF(AND($AB120=1,Processed_Data!C120="Maria.B"),Processed_Data!J120,NA())</f>
        <v>19490</v>
      </c>
      <c r="X120" s="8">
        <f>IF(AND($AB120=1,Processed_Data!C120="Maria.B"),Processed_Data!L120/100,NA())</f>
        <v>0</v>
      </c>
      <c r="Y120" s="4" t="e">
        <f>IF(AND($AB120=1,Processed_Data!C120="Sana Safinaz"),Processed_Data!J120,NA())</f>
        <v>#N/A</v>
      </c>
      <c r="Z120" s="8" t="e">
        <f>IF(AND($AB120=1,Processed_Data!C120="Sana Safinaz"),Processed_Data!L120/100,NA())</f>
        <v>#N/A</v>
      </c>
      <c r="AB120">
        <f>--AND(OR($B$2="All",Processed_Data!C120=$B$2),OR($B$3="All",Processed_Data!F120=$B$3),OR($B$4="All",Processed_Data!G120=$B$4),OR($B$5="All",Processed_Data!H120=$B$5),OR($B$6="All",Processed_Data!R120=$B$6),OR($B$7="All",Processed_Data!N120=$B$7))</f>
        <v>1</v>
      </c>
      <c r="AC120">
        <f>IF($AB120=1,Processed_Data!J120,"")</f>
        <v>19490</v>
      </c>
      <c r="AD120">
        <f>IF($AB120=1,Processed_Data!L120,0)</f>
        <v>0</v>
      </c>
      <c r="AE120">
        <f>IF($AB120=1,--(Processed_Data!M120="On Sale"),0)</f>
        <v>0</v>
      </c>
      <c r="AF120" t="str">
        <f>IF(AND($AB120=1,Processed_Data!C120="J."),Processed_Data!J120,"")</f>
        <v/>
      </c>
      <c r="AG120">
        <f>IF(AND($AB120=1,Processed_Data!C120="Maria.B"),Processed_Data!J120,"")</f>
        <v>19490</v>
      </c>
      <c r="AH120" t="str">
        <f>IF(AND($AB120=1,Processed_Data!C120="Sana Safinaz"),Processed_Data!J120,"")</f>
        <v/>
      </c>
      <c r="AI120">
        <f>IF(AND($AB120=1,Processed_Data!C120="J."),Processed_Data!L120,0)</f>
        <v>0</v>
      </c>
      <c r="AJ120">
        <f>IF(AND($AB120=1,Processed_Data!C120="Maria.B"),Processed_Data!L120,0)</f>
        <v>0</v>
      </c>
      <c r="AK120">
        <f>IF(AND($AB120=1,Processed_Data!C120="Sana Safinaz"),Processed_Data!L120,0)</f>
        <v>0</v>
      </c>
    </row>
    <row r="121" spans="21:37">
      <c r="U121" s="4" t="e">
        <f>IF(AND($AB121=1,Processed_Data!C121="J."),Processed_Data!J121,NA())</f>
        <v>#N/A</v>
      </c>
      <c r="V121" s="8" t="e">
        <f>IF(AND($AB121=1,Processed_Data!C121="J."),Processed_Data!L121/100,NA())</f>
        <v>#N/A</v>
      </c>
      <c r="W121" s="4">
        <f>IF(AND($AB121=1,Processed_Data!C121="Maria.B"),Processed_Data!J121,NA())</f>
        <v>9990</v>
      </c>
      <c r="X121" s="8">
        <f>IF(AND($AB121=1,Processed_Data!C121="Maria.B"),Processed_Data!L121/100,NA())</f>
        <v>0</v>
      </c>
      <c r="Y121" s="4" t="e">
        <f>IF(AND($AB121=1,Processed_Data!C121="Sana Safinaz"),Processed_Data!J121,NA())</f>
        <v>#N/A</v>
      </c>
      <c r="Z121" s="8" t="e">
        <f>IF(AND($AB121=1,Processed_Data!C121="Sana Safinaz"),Processed_Data!L121/100,NA())</f>
        <v>#N/A</v>
      </c>
      <c r="AB121">
        <f>--AND(OR($B$2="All",Processed_Data!C121=$B$2),OR($B$3="All",Processed_Data!F121=$B$3),OR($B$4="All",Processed_Data!G121=$B$4),OR($B$5="All",Processed_Data!H121=$B$5),OR($B$6="All",Processed_Data!R121=$B$6),OR($B$7="All",Processed_Data!N121=$B$7))</f>
        <v>1</v>
      </c>
      <c r="AC121">
        <f>IF($AB121=1,Processed_Data!J121,"")</f>
        <v>9990</v>
      </c>
      <c r="AD121">
        <f>IF($AB121=1,Processed_Data!L121,0)</f>
        <v>0</v>
      </c>
      <c r="AE121">
        <f>IF($AB121=1,--(Processed_Data!M121="On Sale"),0)</f>
        <v>0</v>
      </c>
      <c r="AF121" t="str">
        <f>IF(AND($AB121=1,Processed_Data!C121="J."),Processed_Data!J121,"")</f>
        <v/>
      </c>
      <c r="AG121">
        <f>IF(AND($AB121=1,Processed_Data!C121="Maria.B"),Processed_Data!J121,"")</f>
        <v>9990</v>
      </c>
      <c r="AH121" t="str">
        <f>IF(AND($AB121=1,Processed_Data!C121="Sana Safinaz"),Processed_Data!J121,"")</f>
        <v/>
      </c>
      <c r="AI121">
        <f>IF(AND($AB121=1,Processed_Data!C121="J."),Processed_Data!L121,0)</f>
        <v>0</v>
      </c>
      <c r="AJ121">
        <f>IF(AND($AB121=1,Processed_Data!C121="Maria.B"),Processed_Data!L121,0)</f>
        <v>0</v>
      </c>
      <c r="AK121">
        <f>IF(AND($AB121=1,Processed_Data!C121="Sana Safinaz"),Processed_Data!L121,0)</f>
        <v>0</v>
      </c>
    </row>
    <row r="122" spans="21:37">
      <c r="U122" s="4" t="e">
        <f>IF(AND($AB122=1,Processed_Data!C122="J."),Processed_Data!J122,NA())</f>
        <v>#N/A</v>
      </c>
      <c r="V122" s="8" t="e">
        <f>IF(AND($AB122=1,Processed_Data!C122="J."),Processed_Data!L122/100,NA())</f>
        <v>#N/A</v>
      </c>
      <c r="W122" s="4">
        <f>IF(AND($AB122=1,Processed_Data!C122="Maria.B"),Processed_Data!J122,NA())</f>
        <v>9990</v>
      </c>
      <c r="X122" s="8">
        <f>IF(AND($AB122=1,Processed_Data!C122="Maria.B"),Processed_Data!L122/100,NA())</f>
        <v>0</v>
      </c>
      <c r="Y122" s="4" t="e">
        <f>IF(AND($AB122=1,Processed_Data!C122="Sana Safinaz"),Processed_Data!J122,NA())</f>
        <v>#N/A</v>
      </c>
      <c r="Z122" s="8" t="e">
        <f>IF(AND($AB122=1,Processed_Data!C122="Sana Safinaz"),Processed_Data!L122/100,NA())</f>
        <v>#N/A</v>
      </c>
      <c r="AB122">
        <f>--AND(OR($B$2="All",Processed_Data!C122=$B$2),OR($B$3="All",Processed_Data!F122=$B$3),OR($B$4="All",Processed_Data!G122=$B$4),OR($B$5="All",Processed_Data!H122=$B$5),OR($B$6="All",Processed_Data!R122=$B$6),OR($B$7="All",Processed_Data!N122=$B$7))</f>
        <v>1</v>
      </c>
      <c r="AC122">
        <f>IF($AB122=1,Processed_Data!J122,"")</f>
        <v>9990</v>
      </c>
      <c r="AD122">
        <f>IF($AB122=1,Processed_Data!L122,0)</f>
        <v>0</v>
      </c>
      <c r="AE122">
        <f>IF($AB122=1,--(Processed_Data!M122="On Sale"),0)</f>
        <v>0</v>
      </c>
      <c r="AF122" t="str">
        <f>IF(AND($AB122=1,Processed_Data!C122="J."),Processed_Data!J122,"")</f>
        <v/>
      </c>
      <c r="AG122">
        <f>IF(AND($AB122=1,Processed_Data!C122="Maria.B"),Processed_Data!J122,"")</f>
        <v>9990</v>
      </c>
      <c r="AH122" t="str">
        <f>IF(AND($AB122=1,Processed_Data!C122="Sana Safinaz"),Processed_Data!J122,"")</f>
        <v/>
      </c>
      <c r="AI122">
        <f>IF(AND($AB122=1,Processed_Data!C122="J."),Processed_Data!L122,0)</f>
        <v>0</v>
      </c>
      <c r="AJ122">
        <f>IF(AND($AB122=1,Processed_Data!C122="Maria.B"),Processed_Data!L122,0)</f>
        <v>0</v>
      </c>
      <c r="AK122">
        <f>IF(AND($AB122=1,Processed_Data!C122="Sana Safinaz"),Processed_Data!L122,0)</f>
        <v>0</v>
      </c>
    </row>
    <row r="123" spans="21:37">
      <c r="U123" s="4" t="e">
        <f>IF(AND($AB123=1,Processed_Data!C123="J."),Processed_Data!J123,NA())</f>
        <v>#N/A</v>
      </c>
      <c r="V123" s="8" t="e">
        <f>IF(AND($AB123=1,Processed_Data!C123="J."),Processed_Data!L123/100,NA())</f>
        <v>#N/A</v>
      </c>
      <c r="W123" s="4">
        <f>IF(AND($AB123=1,Processed_Data!C123="Maria.B"),Processed_Data!J123,NA())</f>
        <v>10490</v>
      </c>
      <c r="X123" s="8">
        <f>IF(AND($AB123=1,Processed_Data!C123="Maria.B"),Processed_Data!L123/100,NA())</f>
        <v>0</v>
      </c>
      <c r="Y123" s="4" t="e">
        <f>IF(AND($AB123=1,Processed_Data!C123="Sana Safinaz"),Processed_Data!J123,NA())</f>
        <v>#N/A</v>
      </c>
      <c r="Z123" s="8" t="e">
        <f>IF(AND($AB123=1,Processed_Data!C123="Sana Safinaz"),Processed_Data!L123/100,NA())</f>
        <v>#N/A</v>
      </c>
      <c r="AB123">
        <f>--AND(OR($B$2="All",Processed_Data!C123=$B$2),OR($B$3="All",Processed_Data!F123=$B$3),OR($B$4="All",Processed_Data!G123=$B$4),OR($B$5="All",Processed_Data!H123=$B$5),OR($B$6="All",Processed_Data!R123=$B$6),OR($B$7="All",Processed_Data!N123=$B$7))</f>
        <v>1</v>
      </c>
      <c r="AC123">
        <f>IF($AB123=1,Processed_Data!J123,"")</f>
        <v>10490</v>
      </c>
      <c r="AD123">
        <f>IF($AB123=1,Processed_Data!L123,0)</f>
        <v>0</v>
      </c>
      <c r="AE123">
        <f>IF($AB123=1,--(Processed_Data!M123="On Sale"),0)</f>
        <v>0</v>
      </c>
      <c r="AF123" t="str">
        <f>IF(AND($AB123=1,Processed_Data!C123="J."),Processed_Data!J123,"")</f>
        <v/>
      </c>
      <c r="AG123">
        <f>IF(AND($AB123=1,Processed_Data!C123="Maria.B"),Processed_Data!J123,"")</f>
        <v>10490</v>
      </c>
      <c r="AH123" t="str">
        <f>IF(AND($AB123=1,Processed_Data!C123="Sana Safinaz"),Processed_Data!J123,"")</f>
        <v/>
      </c>
      <c r="AI123">
        <f>IF(AND($AB123=1,Processed_Data!C123="J."),Processed_Data!L123,0)</f>
        <v>0</v>
      </c>
      <c r="AJ123">
        <f>IF(AND($AB123=1,Processed_Data!C123="Maria.B"),Processed_Data!L123,0)</f>
        <v>0</v>
      </c>
      <c r="AK123">
        <f>IF(AND($AB123=1,Processed_Data!C123="Sana Safinaz"),Processed_Data!L123,0)</f>
        <v>0</v>
      </c>
    </row>
    <row r="124" spans="21:37">
      <c r="U124" s="4" t="e">
        <f>IF(AND($AB124=1,Processed_Data!C124="J."),Processed_Data!J124,NA())</f>
        <v>#N/A</v>
      </c>
      <c r="V124" s="8" t="e">
        <f>IF(AND($AB124=1,Processed_Data!C124="J."),Processed_Data!L124/100,NA())</f>
        <v>#N/A</v>
      </c>
      <c r="W124" s="4">
        <f>IF(AND($AB124=1,Processed_Data!C124="Maria.B"),Processed_Data!J124,NA())</f>
        <v>10490</v>
      </c>
      <c r="X124" s="8">
        <f>IF(AND($AB124=1,Processed_Data!C124="Maria.B"),Processed_Data!L124/100,NA())</f>
        <v>0</v>
      </c>
      <c r="Y124" s="4" t="e">
        <f>IF(AND($AB124=1,Processed_Data!C124="Sana Safinaz"),Processed_Data!J124,NA())</f>
        <v>#N/A</v>
      </c>
      <c r="Z124" s="8" t="e">
        <f>IF(AND($AB124=1,Processed_Data!C124="Sana Safinaz"),Processed_Data!L124/100,NA())</f>
        <v>#N/A</v>
      </c>
      <c r="AB124">
        <f>--AND(OR($B$2="All",Processed_Data!C124=$B$2),OR($B$3="All",Processed_Data!F124=$B$3),OR($B$4="All",Processed_Data!G124=$B$4),OR($B$5="All",Processed_Data!H124=$B$5),OR($B$6="All",Processed_Data!R124=$B$6),OR($B$7="All",Processed_Data!N124=$B$7))</f>
        <v>1</v>
      </c>
      <c r="AC124">
        <f>IF($AB124=1,Processed_Data!J124,"")</f>
        <v>10490</v>
      </c>
      <c r="AD124">
        <f>IF($AB124=1,Processed_Data!L124,0)</f>
        <v>0</v>
      </c>
      <c r="AE124">
        <f>IF($AB124=1,--(Processed_Data!M124="On Sale"),0)</f>
        <v>0</v>
      </c>
      <c r="AF124" t="str">
        <f>IF(AND($AB124=1,Processed_Data!C124="J."),Processed_Data!J124,"")</f>
        <v/>
      </c>
      <c r="AG124">
        <f>IF(AND($AB124=1,Processed_Data!C124="Maria.B"),Processed_Data!J124,"")</f>
        <v>10490</v>
      </c>
      <c r="AH124" t="str">
        <f>IF(AND($AB124=1,Processed_Data!C124="Sana Safinaz"),Processed_Data!J124,"")</f>
        <v/>
      </c>
      <c r="AI124">
        <f>IF(AND($AB124=1,Processed_Data!C124="J."),Processed_Data!L124,0)</f>
        <v>0</v>
      </c>
      <c r="AJ124">
        <f>IF(AND($AB124=1,Processed_Data!C124="Maria.B"),Processed_Data!L124,0)</f>
        <v>0</v>
      </c>
      <c r="AK124">
        <f>IF(AND($AB124=1,Processed_Data!C124="Sana Safinaz"),Processed_Data!L124,0)</f>
        <v>0</v>
      </c>
    </row>
    <row r="125" spans="21:37">
      <c r="U125" s="4" t="e">
        <f>IF(AND($AB125=1,Processed_Data!C125="J."),Processed_Data!J125,NA())</f>
        <v>#N/A</v>
      </c>
      <c r="V125" s="8" t="e">
        <f>IF(AND($AB125=1,Processed_Data!C125="J."),Processed_Data!L125/100,NA())</f>
        <v>#N/A</v>
      </c>
      <c r="W125" s="4">
        <f>IF(AND($AB125=1,Processed_Data!C125="Maria.B"),Processed_Data!J125,NA())</f>
        <v>10490</v>
      </c>
      <c r="X125" s="8">
        <f>IF(AND($AB125=1,Processed_Data!C125="Maria.B"),Processed_Data!L125/100,NA())</f>
        <v>0</v>
      </c>
      <c r="Y125" s="4" t="e">
        <f>IF(AND($AB125=1,Processed_Data!C125="Sana Safinaz"),Processed_Data!J125,NA())</f>
        <v>#N/A</v>
      </c>
      <c r="Z125" s="8" t="e">
        <f>IF(AND($AB125=1,Processed_Data!C125="Sana Safinaz"),Processed_Data!L125/100,NA())</f>
        <v>#N/A</v>
      </c>
      <c r="AB125">
        <f>--AND(OR($B$2="All",Processed_Data!C125=$B$2),OR($B$3="All",Processed_Data!F125=$B$3),OR($B$4="All",Processed_Data!G125=$B$4),OR($B$5="All",Processed_Data!H125=$B$5),OR($B$6="All",Processed_Data!R125=$B$6),OR($B$7="All",Processed_Data!N125=$B$7))</f>
        <v>1</v>
      </c>
      <c r="AC125">
        <f>IF($AB125=1,Processed_Data!J125,"")</f>
        <v>10490</v>
      </c>
      <c r="AD125">
        <f>IF($AB125=1,Processed_Data!L125,0)</f>
        <v>0</v>
      </c>
      <c r="AE125">
        <f>IF($AB125=1,--(Processed_Data!M125="On Sale"),0)</f>
        <v>0</v>
      </c>
      <c r="AF125" t="str">
        <f>IF(AND($AB125=1,Processed_Data!C125="J."),Processed_Data!J125,"")</f>
        <v/>
      </c>
      <c r="AG125">
        <f>IF(AND($AB125=1,Processed_Data!C125="Maria.B"),Processed_Data!J125,"")</f>
        <v>10490</v>
      </c>
      <c r="AH125" t="str">
        <f>IF(AND($AB125=1,Processed_Data!C125="Sana Safinaz"),Processed_Data!J125,"")</f>
        <v/>
      </c>
      <c r="AI125">
        <f>IF(AND($AB125=1,Processed_Data!C125="J."),Processed_Data!L125,0)</f>
        <v>0</v>
      </c>
      <c r="AJ125">
        <f>IF(AND($AB125=1,Processed_Data!C125="Maria.B"),Processed_Data!L125,0)</f>
        <v>0</v>
      </c>
      <c r="AK125">
        <f>IF(AND($AB125=1,Processed_Data!C125="Sana Safinaz"),Processed_Data!L125,0)</f>
        <v>0</v>
      </c>
    </row>
    <row r="126" spans="21:37">
      <c r="U126" s="4" t="e">
        <f>IF(AND($AB126=1,Processed_Data!C126="J."),Processed_Data!J126,NA())</f>
        <v>#N/A</v>
      </c>
      <c r="V126" s="8" t="e">
        <f>IF(AND($AB126=1,Processed_Data!C126="J."),Processed_Data!L126/100,NA())</f>
        <v>#N/A</v>
      </c>
      <c r="W126" s="4">
        <f>IF(AND($AB126=1,Processed_Data!C126="Maria.B"),Processed_Data!J126,NA())</f>
        <v>10990</v>
      </c>
      <c r="X126" s="8">
        <f>IF(AND($AB126=1,Processed_Data!C126="Maria.B"),Processed_Data!L126/100,NA())</f>
        <v>0</v>
      </c>
      <c r="Y126" s="4" t="e">
        <f>IF(AND($AB126=1,Processed_Data!C126="Sana Safinaz"),Processed_Data!J126,NA())</f>
        <v>#N/A</v>
      </c>
      <c r="Z126" s="8" t="e">
        <f>IF(AND($AB126=1,Processed_Data!C126="Sana Safinaz"),Processed_Data!L126/100,NA())</f>
        <v>#N/A</v>
      </c>
      <c r="AB126">
        <f>--AND(OR($B$2="All",Processed_Data!C126=$B$2),OR($B$3="All",Processed_Data!F126=$B$3),OR($B$4="All",Processed_Data!G126=$B$4),OR($B$5="All",Processed_Data!H126=$B$5),OR($B$6="All",Processed_Data!R126=$B$6),OR($B$7="All",Processed_Data!N126=$B$7))</f>
        <v>1</v>
      </c>
      <c r="AC126">
        <f>IF($AB126=1,Processed_Data!J126,"")</f>
        <v>10990</v>
      </c>
      <c r="AD126">
        <f>IF($AB126=1,Processed_Data!L126,0)</f>
        <v>0</v>
      </c>
      <c r="AE126">
        <f>IF($AB126=1,--(Processed_Data!M126="On Sale"),0)</f>
        <v>0</v>
      </c>
      <c r="AF126" t="str">
        <f>IF(AND($AB126=1,Processed_Data!C126="J."),Processed_Data!J126,"")</f>
        <v/>
      </c>
      <c r="AG126">
        <f>IF(AND($AB126=1,Processed_Data!C126="Maria.B"),Processed_Data!J126,"")</f>
        <v>10990</v>
      </c>
      <c r="AH126" t="str">
        <f>IF(AND($AB126=1,Processed_Data!C126="Sana Safinaz"),Processed_Data!J126,"")</f>
        <v/>
      </c>
      <c r="AI126">
        <f>IF(AND($AB126=1,Processed_Data!C126="J."),Processed_Data!L126,0)</f>
        <v>0</v>
      </c>
      <c r="AJ126">
        <f>IF(AND($AB126=1,Processed_Data!C126="Maria.B"),Processed_Data!L126,0)</f>
        <v>0</v>
      </c>
      <c r="AK126">
        <f>IF(AND($AB126=1,Processed_Data!C126="Sana Safinaz"),Processed_Data!L126,0)</f>
        <v>0</v>
      </c>
    </row>
    <row r="127" spans="21:37">
      <c r="U127" s="4" t="e">
        <f>IF(AND($AB127=1,Processed_Data!C127="J."),Processed_Data!J127,NA())</f>
        <v>#N/A</v>
      </c>
      <c r="V127" s="8" t="e">
        <f>IF(AND($AB127=1,Processed_Data!C127="J."),Processed_Data!L127/100,NA())</f>
        <v>#N/A</v>
      </c>
      <c r="W127" s="4">
        <f>IF(AND($AB127=1,Processed_Data!C127="Maria.B"),Processed_Data!J127,NA())</f>
        <v>11691</v>
      </c>
      <c r="X127" s="8">
        <f>IF(AND($AB127=1,Processed_Data!C127="Maria.B"),Processed_Data!L127/100,NA())</f>
        <v>0.1</v>
      </c>
      <c r="Y127" s="4" t="e">
        <f>IF(AND($AB127=1,Processed_Data!C127="Sana Safinaz"),Processed_Data!J127,NA())</f>
        <v>#N/A</v>
      </c>
      <c r="Z127" s="8" t="e">
        <f>IF(AND($AB127=1,Processed_Data!C127="Sana Safinaz"),Processed_Data!L127/100,NA())</f>
        <v>#N/A</v>
      </c>
      <c r="AB127">
        <f>--AND(OR($B$2="All",Processed_Data!C127=$B$2),OR($B$3="All",Processed_Data!F127=$B$3),OR($B$4="All",Processed_Data!G127=$B$4),OR($B$5="All",Processed_Data!H127=$B$5),OR($B$6="All",Processed_Data!R127=$B$6),OR($B$7="All",Processed_Data!N127=$B$7))</f>
        <v>1</v>
      </c>
      <c r="AC127">
        <f>IF($AB127=1,Processed_Data!J127,"")</f>
        <v>11691</v>
      </c>
      <c r="AD127">
        <f>IF($AB127=1,Processed_Data!L127,0)</f>
        <v>10</v>
      </c>
      <c r="AE127">
        <f>IF($AB127=1,--(Processed_Data!M127="On Sale"),0)</f>
        <v>1</v>
      </c>
      <c r="AF127" t="str">
        <f>IF(AND($AB127=1,Processed_Data!C127="J."),Processed_Data!J127,"")</f>
        <v/>
      </c>
      <c r="AG127">
        <f>IF(AND($AB127=1,Processed_Data!C127="Maria.B"),Processed_Data!J127,"")</f>
        <v>11691</v>
      </c>
      <c r="AH127" t="str">
        <f>IF(AND($AB127=1,Processed_Data!C127="Sana Safinaz"),Processed_Data!J127,"")</f>
        <v/>
      </c>
      <c r="AI127">
        <f>IF(AND($AB127=1,Processed_Data!C127="J."),Processed_Data!L127,0)</f>
        <v>0</v>
      </c>
      <c r="AJ127">
        <f>IF(AND($AB127=1,Processed_Data!C127="Maria.B"),Processed_Data!L127,0)</f>
        <v>10</v>
      </c>
      <c r="AK127">
        <f>IF(AND($AB127=1,Processed_Data!C127="Sana Safinaz"),Processed_Data!L127,0)</f>
        <v>0</v>
      </c>
    </row>
    <row r="128" spans="21:37">
      <c r="U128" s="4" t="e">
        <f>IF(AND($AB128=1,Processed_Data!C128="J."),Processed_Data!J128,NA())</f>
        <v>#N/A</v>
      </c>
      <c r="V128" s="8" t="e">
        <f>IF(AND($AB128=1,Processed_Data!C128="J."),Processed_Data!L128/100,NA())</f>
        <v>#N/A</v>
      </c>
      <c r="W128" s="4">
        <f>IF(AND($AB128=1,Processed_Data!C128="Maria.B"),Processed_Data!J128,NA())</f>
        <v>23391</v>
      </c>
      <c r="X128" s="8">
        <f>IF(AND($AB128=1,Processed_Data!C128="Maria.B"),Processed_Data!L128/100,NA())</f>
        <v>0.1</v>
      </c>
      <c r="Y128" s="4" t="e">
        <f>IF(AND($AB128=1,Processed_Data!C128="Sana Safinaz"),Processed_Data!J128,NA())</f>
        <v>#N/A</v>
      </c>
      <c r="Z128" s="8" t="e">
        <f>IF(AND($AB128=1,Processed_Data!C128="Sana Safinaz"),Processed_Data!L128/100,NA())</f>
        <v>#N/A</v>
      </c>
      <c r="AB128">
        <f>--AND(OR($B$2="All",Processed_Data!C128=$B$2),OR($B$3="All",Processed_Data!F128=$B$3),OR($B$4="All",Processed_Data!G128=$B$4),OR($B$5="All",Processed_Data!H128=$B$5),OR($B$6="All",Processed_Data!R128=$B$6),OR($B$7="All",Processed_Data!N128=$B$7))</f>
        <v>1</v>
      </c>
      <c r="AC128">
        <f>IF($AB128=1,Processed_Data!J128,"")</f>
        <v>23391</v>
      </c>
      <c r="AD128">
        <f>IF($AB128=1,Processed_Data!L128,0)</f>
        <v>10</v>
      </c>
      <c r="AE128">
        <f>IF($AB128=1,--(Processed_Data!M128="On Sale"),0)</f>
        <v>1</v>
      </c>
      <c r="AF128" t="str">
        <f>IF(AND($AB128=1,Processed_Data!C128="J."),Processed_Data!J128,"")</f>
        <v/>
      </c>
      <c r="AG128">
        <f>IF(AND($AB128=1,Processed_Data!C128="Maria.B"),Processed_Data!J128,"")</f>
        <v>23391</v>
      </c>
      <c r="AH128" t="str">
        <f>IF(AND($AB128=1,Processed_Data!C128="Sana Safinaz"),Processed_Data!J128,"")</f>
        <v/>
      </c>
      <c r="AI128">
        <f>IF(AND($AB128=1,Processed_Data!C128="J."),Processed_Data!L128,0)</f>
        <v>0</v>
      </c>
      <c r="AJ128">
        <f>IF(AND($AB128=1,Processed_Data!C128="Maria.B"),Processed_Data!L128,0)</f>
        <v>10</v>
      </c>
      <c r="AK128">
        <f>IF(AND($AB128=1,Processed_Data!C128="Sana Safinaz"),Processed_Data!L128,0)</f>
        <v>0</v>
      </c>
    </row>
    <row r="129" spans="21:37">
      <c r="U129" s="4" t="e">
        <f>IF(AND($AB129=1,Processed_Data!C129="J."),Processed_Data!J129,NA())</f>
        <v>#N/A</v>
      </c>
      <c r="V129" s="8" t="e">
        <f>IF(AND($AB129=1,Processed_Data!C129="J."),Processed_Data!L129/100,NA())</f>
        <v>#N/A</v>
      </c>
      <c r="W129" s="4">
        <f>IF(AND($AB129=1,Processed_Data!C129="Maria.B"),Processed_Data!J129,NA())</f>
        <v>22491</v>
      </c>
      <c r="X129" s="8">
        <f>IF(AND($AB129=1,Processed_Data!C129="Maria.B"),Processed_Data!L129/100,NA())</f>
        <v>0.1</v>
      </c>
      <c r="Y129" s="4" t="e">
        <f>IF(AND($AB129=1,Processed_Data!C129="Sana Safinaz"),Processed_Data!J129,NA())</f>
        <v>#N/A</v>
      </c>
      <c r="Z129" s="8" t="e">
        <f>IF(AND($AB129=1,Processed_Data!C129="Sana Safinaz"),Processed_Data!L129/100,NA())</f>
        <v>#N/A</v>
      </c>
      <c r="AB129">
        <f>--AND(OR($B$2="All",Processed_Data!C129=$B$2),OR($B$3="All",Processed_Data!F129=$B$3),OR($B$4="All",Processed_Data!G129=$B$4),OR($B$5="All",Processed_Data!H129=$B$5),OR($B$6="All",Processed_Data!R129=$B$6),OR($B$7="All",Processed_Data!N129=$B$7))</f>
        <v>1</v>
      </c>
      <c r="AC129">
        <f>IF($AB129=1,Processed_Data!J129,"")</f>
        <v>22491</v>
      </c>
      <c r="AD129">
        <f>IF($AB129=1,Processed_Data!L129,0)</f>
        <v>10</v>
      </c>
      <c r="AE129">
        <f>IF($AB129=1,--(Processed_Data!M129="On Sale"),0)</f>
        <v>1</v>
      </c>
      <c r="AF129" t="str">
        <f>IF(AND($AB129=1,Processed_Data!C129="J."),Processed_Data!J129,"")</f>
        <v/>
      </c>
      <c r="AG129">
        <f>IF(AND($AB129=1,Processed_Data!C129="Maria.B"),Processed_Data!J129,"")</f>
        <v>22491</v>
      </c>
      <c r="AH129" t="str">
        <f>IF(AND($AB129=1,Processed_Data!C129="Sana Safinaz"),Processed_Data!J129,"")</f>
        <v/>
      </c>
      <c r="AI129">
        <f>IF(AND($AB129=1,Processed_Data!C129="J."),Processed_Data!L129,0)</f>
        <v>0</v>
      </c>
      <c r="AJ129">
        <f>IF(AND($AB129=1,Processed_Data!C129="Maria.B"),Processed_Data!L129,0)</f>
        <v>10</v>
      </c>
      <c r="AK129">
        <f>IF(AND($AB129=1,Processed_Data!C129="Sana Safinaz"),Processed_Data!L129,0)</f>
        <v>0</v>
      </c>
    </row>
    <row r="130" spans="21:37">
      <c r="U130" s="4" t="e">
        <f>IF(AND($AB130=1,Processed_Data!C130="J."),Processed_Data!J130,NA())</f>
        <v>#N/A</v>
      </c>
      <c r="V130" s="8" t="e">
        <f>IF(AND($AB130=1,Processed_Data!C130="J."),Processed_Data!L130/100,NA())</f>
        <v>#N/A</v>
      </c>
      <c r="W130" s="4">
        <f>IF(AND($AB130=1,Processed_Data!C130="Maria.B"),Processed_Data!J130,NA())</f>
        <v>22491</v>
      </c>
      <c r="X130" s="8">
        <f>IF(AND($AB130=1,Processed_Data!C130="Maria.B"),Processed_Data!L130/100,NA())</f>
        <v>0.1</v>
      </c>
      <c r="Y130" s="4" t="e">
        <f>IF(AND($AB130=1,Processed_Data!C130="Sana Safinaz"),Processed_Data!J130,NA())</f>
        <v>#N/A</v>
      </c>
      <c r="Z130" s="8" t="e">
        <f>IF(AND($AB130=1,Processed_Data!C130="Sana Safinaz"),Processed_Data!L130/100,NA())</f>
        <v>#N/A</v>
      </c>
      <c r="AB130">
        <f>--AND(OR($B$2="All",Processed_Data!C130=$B$2),OR($B$3="All",Processed_Data!F130=$B$3),OR($B$4="All",Processed_Data!G130=$B$4),OR($B$5="All",Processed_Data!H130=$B$5),OR($B$6="All",Processed_Data!R130=$B$6),OR($B$7="All",Processed_Data!N130=$B$7))</f>
        <v>1</v>
      </c>
      <c r="AC130">
        <f>IF($AB130=1,Processed_Data!J130,"")</f>
        <v>22491</v>
      </c>
      <c r="AD130">
        <f>IF($AB130=1,Processed_Data!L130,0)</f>
        <v>10</v>
      </c>
      <c r="AE130">
        <f>IF($AB130=1,--(Processed_Data!M130="On Sale"),0)</f>
        <v>1</v>
      </c>
      <c r="AF130" t="str">
        <f>IF(AND($AB130=1,Processed_Data!C130="J."),Processed_Data!J130,"")</f>
        <v/>
      </c>
      <c r="AG130">
        <f>IF(AND($AB130=1,Processed_Data!C130="Maria.B"),Processed_Data!J130,"")</f>
        <v>22491</v>
      </c>
      <c r="AH130" t="str">
        <f>IF(AND($AB130=1,Processed_Data!C130="Sana Safinaz"),Processed_Data!J130,"")</f>
        <v/>
      </c>
      <c r="AI130">
        <f>IF(AND($AB130=1,Processed_Data!C130="J."),Processed_Data!L130,0)</f>
        <v>0</v>
      </c>
      <c r="AJ130">
        <f>IF(AND($AB130=1,Processed_Data!C130="Maria.B"),Processed_Data!L130,0)</f>
        <v>10</v>
      </c>
      <c r="AK130">
        <f>IF(AND($AB130=1,Processed_Data!C130="Sana Safinaz"),Processed_Data!L130,0)</f>
        <v>0</v>
      </c>
    </row>
    <row r="131" spans="21:37">
      <c r="U131" s="4" t="e">
        <f>IF(AND($AB131=1,Processed_Data!C131="J."),Processed_Data!J131,NA())</f>
        <v>#N/A</v>
      </c>
      <c r="V131" s="8" t="e">
        <f>IF(AND($AB131=1,Processed_Data!C131="J."),Processed_Data!L131/100,NA())</f>
        <v>#N/A</v>
      </c>
      <c r="W131" s="4">
        <f>IF(AND($AB131=1,Processed_Data!C131="Maria.B"),Processed_Data!J131,NA())</f>
        <v>22491</v>
      </c>
      <c r="X131" s="8">
        <f>IF(AND($AB131=1,Processed_Data!C131="Maria.B"),Processed_Data!L131/100,NA())</f>
        <v>0.1</v>
      </c>
      <c r="Y131" s="4" t="e">
        <f>IF(AND($AB131=1,Processed_Data!C131="Sana Safinaz"),Processed_Data!J131,NA())</f>
        <v>#N/A</v>
      </c>
      <c r="Z131" s="8" t="e">
        <f>IF(AND($AB131=1,Processed_Data!C131="Sana Safinaz"),Processed_Data!L131/100,NA())</f>
        <v>#N/A</v>
      </c>
      <c r="AB131">
        <f>--AND(OR($B$2="All",Processed_Data!C131=$B$2),OR($B$3="All",Processed_Data!F131=$B$3),OR($B$4="All",Processed_Data!G131=$B$4),OR($B$5="All",Processed_Data!H131=$B$5),OR($B$6="All",Processed_Data!R131=$B$6),OR($B$7="All",Processed_Data!N131=$B$7))</f>
        <v>1</v>
      </c>
      <c r="AC131">
        <f>IF($AB131=1,Processed_Data!J131,"")</f>
        <v>22491</v>
      </c>
      <c r="AD131">
        <f>IF($AB131=1,Processed_Data!L131,0)</f>
        <v>10</v>
      </c>
      <c r="AE131">
        <f>IF($AB131=1,--(Processed_Data!M131="On Sale"),0)</f>
        <v>1</v>
      </c>
      <c r="AF131" t="str">
        <f>IF(AND($AB131=1,Processed_Data!C131="J."),Processed_Data!J131,"")</f>
        <v/>
      </c>
      <c r="AG131">
        <f>IF(AND($AB131=1,Processed_Data!C131="Maria.B"),Processed_Data!J131,"")</f>
        <v>22491</v>
      </c>
      <c r="AH131" t="str">
        <f>IF(AND($AB131=1,Processed_Data!C131="Sana Safinaz"),Processed_Data!J131,"")</f>
        <v/>
      </c>
      <c r="AI131">
        <f>IF(AND($AB131=1,Processed_Data!C131="J."),Processed_Data!L131,0)</f>
        <v>0</v>
      </c>
      <c r="AJ131">
        <f>IF(AND($AB131=1,Processed_Data!C131="Maria.B"),Processed_Data!L131,0)</f>
        <v>10</v>
      </c>
      <c r="AK131">
        <f>IF(AND($AB131=1,Processed_Data!C131="Sana Safinaz"),Processed_Data!L131,0)</f>
        <v>0</v>
      </c>
    </row>
    <row r="132" spans="21:37">
      <c r="U132" s="4" t="e">
        <f>IF(AND($AB132=1,Processed_Data!C132="J."),Processed_Data!J132,NA())</f>
        <v>#N/A</v>
      </c>
      <c r="V132" s="8" t="e">
        <f>IF(AND($AB132=1,Processed_Data!C132="J."),Processed_Data!L132/100,NA())</f>
        <v>#N/A</v>
      </c>
      <c r="W132" s="4">
        <f>IF(AND($AB132=1,Processed_Data!C132="Maria.B"),Processed_Data!J132,NA())</f>
        <v>21591</v>
      </c>
      <c r="X132" s="8">
        <f>IF(AND($AB132=1,Processed_Data!C132="Maria.B"),Processed_Data!L132/100,NA())</f>
        <v>0.1</v>
      </c>
      <c r="Y132" s="4" t="e">
        <f>IF(AND($AB132=1,Processed_Data!C132="Sana Safinaz"),Processed_Data!J132,NA())</f>
        <v>#N/A</v>
      </c>
      <c r="Z132" s="8" t="e">
        <f>IF(AND($AB132=1,Processed_Data!C132="Sana Safinaz"),Processed_Data!L132/100,NA())</f>
        <v>#N/A</v>
      </c>
      <c r="AB132">
        <f>--AND(OR($B$2="All",Processed_Data!C132=$B$2),OR($B$3="All",Processed_Data!F132=$B$3),OR($B$4="All",Processed_Data!G132=$B$4),OR($B$5="All",Processed_Data!H132=$B$5),OR($B$6="All",Processed_Data!R132=$B$6),OR($B$7="All",Processed_Data!N132=$B$7))</f>
        <v>1</v>
      </c>
      <c r="AC132">
        <f>IF($AB132=1,Processed_Data!J132,"")</f>
        <v>21591</v>
      </c>
      <c r="AD132">
        <f>IF($AB132=1,Processed_Data!L132,0)</f>
        <v>10</v>
      </c>
      <c r="AE132">
        <f>IF($AB132=1,--(Processed_Data!M132="On Sale"),0)</f>
        <v>1</v>
      </c>
      <c r="AF132" t="str">
        <f>IF(AND($AB132=1,Processed_Data!C132="J."),Processed_Data!J132,"")</f>
        <v/>
      </c>
      <c r="AG132">
        <f>IF(AND($AB132=1,Processed_Data!C132="Maria.B"),Processed_Data!J132,"")</f>
        <v>21591</v>
      </c>
      <c r="AH132" t="str">
        <f>IF(AND($AB132=1,Processed_Data!C132="Sana Safinaz"),Processed_Data!J132,"")</f>
        <v/>
      </c>
      <c r="AI132">
        <f>IF(AND($AB132=1,Processed_Data!C132="J."),Processed_Data!L132,0)</f>
        <v>0</v>
      </c>
      <c r="AJ132">
        <f>IF(AND($AB132=1,Processed_Data!C132="Maria.B"),Processed_Data!L132,0)</f>
        <v>10</v>
      </c>
      <c r="AK132">
        <f>IF(AND($AB132=1,Processed_Data!C132="Sana Safinaz"),Processed_Data!L132,0)</f>
        <v>0</v>
      </c>
    </row>
    <row r="133" spans="21:37">
      <c r="U133" s="4" t="e">
        <f>IF(AND($AB133=1,Processed_Data!C133="J."),Processed_Data!J133,NA())</f>
        <v>#N/A</v>
      </c>
      <c r="V133" s="8" t="e">
        <f>IF(AND($AB133=1,Processed_Data!C133="J."),Processed_Data!L133/100,NA())</f>
        <v>#N/A</v>
      </c>
      <c r="W133" s="4">
        <f>IF(AND($AB133=1,Processed_Data!C133="Maria.B"),Processed_Data!J133,NA())</f>
        <v>19791</v>
      </c>
      <c r="X133" s="8">
        <f>IF(AND($AB133=1,Processed_Data!C133="Maria.B"),Processed_Data!L133/100,NA())</f>
        <v>0.1</v>
      </c>
      <c r="Y133" s="4" t="e">
        <f>IF(AND($AB133=1,Processed_Data!C133="Sana Safinaz"),Processed_Data!J133,NA())</f>
        <v>#N/A</v>
      </c>
      <c r="Z133" s="8" t="e">
        <f>IF(AND($AB133=1,Processed_Data!C133="Sana Safinaz"),Processed_Data!L133/100,NA())</f>
        <v>#N/A</v>
      </c>
      <c r="AB133">
        <f>--AND(OR($B$2="All",Processed_Data!C133=$B$2),OR($B$3="All",Processed_Data!F133=$B$3),OR($B$4="All",Processed_Data!G133=$B$4),OR($B$5="All",Processed_Data!H133=$B$5),OR($B$6="All",Processed_Data!R133=$B$6),OR($B$7="All",Processed_Data!N133=$B$7))</f>
        <v>1</v>
      </c>
      <c r="AC133">
        <f>IF($AB133=1,Processed_Data!J133,"")</f>
        <v>19791</v>
      </c>
      <c r="AD133">
        <f>IF($AB133=1,Processed_Data!L133,0)</f>
        <v>10</v>
      </c>
      <c r="AE133">
        <f>IF($AB133=1,--(Processed_Data!M133="On Sale"),0)</f>
        <v>1</v>
      </c>
      <c r="AF133" t="str">
        <f>IF(AND($AB133=1,Processed_Data!C133="J."),Processed_Data!J133,"")</f>
        <v/>
      </c>
      <c r="AG133">
        <f>IF(AND($AB133=1,Processed_Data!C133="Maria.B"),Processed_Data!J133,"")</f>
        <v>19791</v>
      </c>
      <c r="AH133" t="str">
        <f>IF(AND($AB133=1,Processed_Data!C133="Sana Safinaz"),Processed_Data!J133,"")</f>
        <v/>
      </c>
      <c r="AI133">
        <f>IF(AND($AB133=1,Processed_Data!C133="J."),Processed_Data!L133,0)</f>
        <v>0</v>
      </c>
      <c r="AJ133">
        <f>IF(AND($AB133=1,Processed_Data!C133="Maria.B"),Processed_Data!L133,0)</f>
        <v>10</v>
      </c>
      <c r="AK133">
        <f>IF(AND($AB133=1,Processed_Data!C133="Sana Safinaz"),Processed_Data!L133,0)</f>
        <v>0</v>
      </c>
    </row>
    <row r="134" spans="21:37">
      <c r="U134" s="4" t="e">
        <f>IF(AND($AB134=1,Processed_Data!C134="J."),Processed_Data!J134,NA())</f>
        <v>#N/A</v>
      </c>
      <c r="V134" s="8" t="e">
        <f>IF(AND($AB134=1,Processed_Data!C134="J."),Processed_Data!L134/100,NA())</f>
        <v>#N/A</v>
      </c>
      <c r="W134" s="4">
        <f>IF(AND($AB134=1,Processed_Data!C134="Maria.B"),Processed_Data!J134,NA())</f>
        <v>18891</v>
      </c>
      <c r="X134" s="8">
        <f>IF(AND($AB134=1,Processed_Data!C134="Maria.B"),Processed_Data!L134/100,NA())</f>
        <v>0.1</v>
      </c>
      <c r="Y134" s="4" t="e">
        <f>IF(AND($AB134=1,Processed_Data!C134="Sana Safinaz"),Processed_Data!J134,NA())</f>
        <v>#N/A</v>
      </c>
      <c r="Z134" s="8" t="e">
        <f>IF(AND($AB134=1,Processed_Data!C134="Sana Safinaz"),Processed_Data!L134/100,NA())</f>
        <v>#N/A</v>
      </c>
      <c r="AB134">
        <f>--AND(OR($B$2="All",Processed_Data!C134=$B$2),OR($B$3="All",Processed_Data!F134=$B$3),OR($B$4="All",Processed_Data!G134=$B$4),OR($B$5="All",Processed_Data!H134=$B$5),OR($B$6="All",Processed_Data!R134=$B$6),OR($B$7="All",Processed_Data!N134=$B$7))</f>
        <v>1</v>
      </c>
      <c r="AC134">
        <f>IF($AB134=1,Processed_Data!J134,"")</f>
        <v>18891</v>
      </c>
      <c r="AD134">
        <f>IF($AB134=1,Processed_Data!L134,0)</f>
        <v>10</v>
      </c>
      <c r="AE134">
        <f>IF($AB134=1,--(Processed_Data!M134="On Sale"),0)</f>
        <v>1</v>
      </c>
      <c r="AF134" t="str">
        <f>IF(AND($AB134=1,Processed_Data!C134="J."),Processed_Data!J134,"")</f>
        <v/>
      </c>
      <c r="AG134">
        <f>IF(AND($AB134=1,Processed_Data!C134="Maria.B"),Processed_Data!J134,"")</f>
        <v>18891</v>
      </c>
      <c r="AH134" t="str">
        <f>IF(AND($AB134=1,Processed_Data!C134="Sana Safinaz"),Processed_Data!J134,"")</f>
        <v/>
      </c>
      <c r="AI134">
        <f>IF(AND($AB134=1,Processed_Data!C134="J."),Processed_Data!L134,0)</f>
        <v>0</v>
      </c>
      <c r="AJ134">
        <f>IF(AND($AB134=1,Processed_Data!C134="Maria.B"),Processed_Data!L134,0)</f>
        <v>10</v>
      </c>
      <c r="AK134">
        <f>IF(AND($AB134=1,Processed_Data!C134="Sana Safinaz"),Processed_Data!L134,0)</f>
        <v>0</v>
      </c>
    </row>
    <row r="135" spans="21:37">
      <c r="U135" s="4" t="e">
        <f>IF(AND($AB135=1,Processed_Data!C135="J."),Processed_Data!J135,NA())</f>
        <v>#N/A</v>
      </c>
      <c r="V135" s="8" t="e">
        <f>IF(AND($AB135=1,Processed_Data!C135="J."),Processed_Data!L135/100,NA())</f>
        <v>#N/A</v>
      </c>
      <c r="W135" s="4">
        <f>IF(AND($AB135=1,Processed_Data!C135="Maria.B"),Processed_Data!J135,NA())</f>
        <v>13491</v>
      </c>
      <c r="X135" s="8">
        <f>IF(AND($AB135=1,Processed_Data!C135="Maria.B"),Processed_Data!L135/100,NA())</f>
        <v>0.1</v>
      </c>
      <c r="Y135" s="4" t="e">
        <f>IF(AND($AB135=1,Processed_Data!C135="Sana Safinaz"),Processed_Data!J135,NA())</f>
        <v>#N/A</v>
      </c>
      <c r="Z135" s="8" t="e">
        <f>IF(AND($AB135=1,Processed_Data!C135="Sana Safinaz"),Processed_Data!L135/100,NA())</f>
        <v>#N/A</v>
      </c>
      <c r="AB135">
        <f>--AND(OR($B$2="All",Processed_Data!C135=$B$2),OR($B$3="All",Processed_Data!F135=$B$3),OR($B$4="All",Processed_Data!G135=$B$4),OR($B$5="All",Processed_Data!H135=$B$5),OR($B$6="All",Processed_Data!R135=$B$6),OR($B$7="All",Processed_Data!N135=$B$7))</f>
        <v>1</v>
      </c>
      <c r="AC135">
        <f>IF($AB135=1,Processed_Data!J135,"")</f>
        <v>13491</v>
      </c>
      <c r="AD135">
        <f>IF($AB135=1,Processed_Data!L135,0)</f>
        <v>10</v>
      </c>
      <c r="AE135">
        <f>IF($AB135=1,--(Processed_Data!M135="On Sale"),0)</f>
        <v>1</v>
      </c>
      <c r="AF135" t="str">
        <f>IF(AND($AB135=1,Processed_Data!C135="J."),Processed_Data!J135,"")</f>
        <v/>
      </c>
      <c r="AG135">
        <f>IF(AND($AB135=1,Processed_Data!C135="Maria.B"),Processed_Data!J135,"")</f>
        <v>13491</v>
      </c>
      <c r="AH135" t="str">
        <f>IF(AND($AB135=1,Processed_Data!C135="Sana Safinaz"),Processed_Data!J135,"")</f>
        <v/>
      </c>
      <c r="AI135">
        <f>IF(AND($AB135=1,Processed_Data!C135="J."),Processed_Data!L135,0)</f>
        <v>0</v>
      </c>
      <c r="AJ135">
        <f>IF(AND($AB135=1,Processed_Data!C135="Maria.B"),Processed_Data!L135,0)</f>
        <v>10</v>
      </c>
      <c r="AK135">
        <f>IF(AND($AB135=1,Processed_Data!C135="Sana Safinaz"),Processed_Data!L135,0)</f>
        <v>0</v>
      </c>
    </row>
    <row r="136" spans="21:37">
      <c r="U136" s="4" t="e">
        <f>IF(AND($AB136=1,Processed_Data!C136="J."),Processed_Data!J136,NA())</f>
        <v>#N/A</v>
      </c>
      <c r="V136" s="8" t="e">
        <f>IF(AND($AB136=1,Processed_Data!C136="J."),Processed_Data!L136/100,NA())</f>
        <v>#N/A</v>
      </c>
      <c r="W136" s="4">
        <f>IF(AND($AB136=1,Processed_Data!C136="Maria.B"),Processed_Data!J136,NA())</f>
        <v>13491</v>
      </c>
      <c r="X136" s="8">
        <f>IF(AND($AB136=1,Processed_Data!C136="Maria.B"),Processed_Data!L136/100,NA())</f>
        <v>0.1</v>
      </c>
      <c r="Y136" s="4" t="e">
        <f>IF(AND($AB136=1,Processed_Data!C136="Sana Safinaz"),Processed_Data!J136,NA())</f>
        <v>#N/A</v>
      </c>
      <c r="Z136" s="8" t="e">
        <f>IF(AND($AB136=1,Processed_Data!C136="Sana Safinaz"),Processed_Data!L136/100,NA())</f>
        <v>#N/A</v>
      </c>
      <c r="AB136">
        <f>--AND(OR($B$2="All",Processed_Data!C136=$B$2),OR($B$3="All",Processed_Data!F136=$B$3),OR($B$4="All",Processed_Data!G136=$B$4),OR($B$5="All",Processed_Data!H136=$B$5),OR($B$6="All",Processed_Data!R136=$B$6),OR($B$7="All",Processed_Data!N136=$B$7))</f>
        <v>1</v>
      </c>
      <c r="AC136">
        <f>IF($AB136=1,Processed_Data!J136,"")</f>
        <v>13491</v>
      </c>
      <c r="AD136">
        <f>IF($AB136=1,Processed_Data!L136,0)</f>
        <v>10</v>
      </c>
      <c r="AE136">
        <f>IF($AB136=1,--(Processed_Data!M136="On Sale"),0)</f>
        <v>1</v>
      </c>
      <c r="AF136" t="str">
        <f>IF(AND($AB136=1,Processed_Data!C136="J."),Processed_Data!J136,"")</f>
        <v/>
      </c>
      <c r="AG136">
        <f>IF(AND($AB136=1,Processed_Data!C136="Maria.B"),Processed_Data!J136,"")</f>
        <v>13491</v>
      </c>
      <c r="AH136" t="str">
        <f>IF(AND($AB136=1,Processed_Data!C136="Sana Safinaz"),Processed_Data!J136,"")</f>
        <v/>
      </c>
      <c r="AI136">
        <f>IF(AND($AB136=1,Processed_Data!C136="J."),Processed_Data!L136,0)</f>
        <v>0</v>
      </c>
      <c r="AJ136">
        <f>IF(AND($AB136=1,Processed_Data!C136="Maria.B"),Processed_Data!L136,0)</f>
        <v>10</v>
      </c>
      <c r="AK136">
        <f>IF(AND($AB136=1,Processed_Data!C136="Sana Safinaz"),Processed_Data!L136,0)</f>
        <v>0</v>
      </c>
    </row>
    <row r="137" spans="21:37">
      <c r="U137" s="4" t="e">
        <f>IF(AND($AB137=1,Processed_Data!C137="J."),Processed_Data!J137,NA())</f>
        <v>#N/A</v>
      </c>
      <c r="V137" s="8" t="e">
        <f>IF(AND($AB137=1,Processed_Data!C137="J."),Processed_Data!L137/100,NA())</f>
        <v>#N/A</v>
      </c>
      <c r="W137" s="4">
        <f>IF(AND($AB137=1,Processed_Data!C137="Maria.B"),Processed_Data!J137,NA())</f>
        <v>13491</v>
      </c>
      <c r="X137" s="8">
        <f>IF(AND($AB137=1,Processed_Data!C137="Maria.B"),Processed_Data!L137/100,NA())</f>
        <v>0.1</v>
      </c>
      <c r="Y137" s="4" t="e">
        <f>IF(AND($AB137=1,Processed_Data!C137="Sana Safinaz"),Processed_Data!J137,NA())</f>
        <v>#N/A</v>
      </c>
      <c r="Z137" s="8" t="e">
        <f>IF(AND($AB137=1,Processed_Data!C137="Sana Safinaz"),Processed_Data!L137/100,NA())</f>
        <v>#N/A</v>
      </c>
      <c r="AB137">
        <f>--AND(OR($B$2="All",Processed_Data!C137=$B$2),OR($B$3="All",Processed_Data!F137=$B$3),OR($B$4="All",Processed_Data!G137=$B$4),OR($B$5="All",Processed_Data!H137=$B$5),OR($B$6="All",Processed_Data!R137=$B$6),OR($B$7="All",Processed_Data!N137=$B$7))</f>
        <v>1</v>
      </c>
      <c r="AC137">
        <f>IF($AB137=1,Processed_Data!J137,"")</f>
        <v>13491</v>
      </c>
      <c r="AD137">
        <f>IF($AB137=1,Processed_Data!L137,0)</f>
        <v>10</v>
      </c>
      <c r="AE137">
        <f>IF($AB137=1,--(Processed_Data!M137="On Sale"),0)</f>
        <v>1</v>
      </c>
      <c r="AF137" t="str">
        <f>IF(AND($AB137=1,Processed_Data!C137="J."),Processed_Data!J137,"")</f>
        <v/>
      </c>
      <c r="AG137">
        <f>IF(AND($AB137=1,Processed_Data!C137="Maria.B"),Processed_Data!J137,"")</f>
        <v>13491</v>
      </c>
      <c r="AH137" t="str">
        <f>IF(AND($AB137=1,Processed_Data!C137="Sana Safinaz"),Processed_Data!J137,"")</f>
        <v/>
      </c>
      <c r="AI137">
        <f>IF(AND($AB137=1,Processed_Data!C137="J."),Processed_Data!L137,0)</f>
        <v>0</v>
      </c>
      <c r="AJ137">
        <f>IF(AND($AB137=1,Processed_Data!C137="Maria.B"),Processed_Data!L137,0)</f>
        <v>10</v>
      </c>
      <c r="AK137">
        <f>IF(AND($AB137=1,Processed_Data!C137="Sana Safinaz"),Processed_Data!L137,0)</f>
        <v>0</v>
      </c>
    </row>
    <row r="138" spans="21:37">
      <c r="U138" s="4" t="e">
        <f>IF(AND($AB138=1,Processed_Data!C138="J."),Processed_Data!J138,NA())</f>
        <v>#N/A</v>
      </c>
      <c r="V138" s="8" t="e">
        <f>IF(AND($AB138=1,Processed_Data!C138="J."),Processed_Data!L138/100,NA())</f>
        <v>#N/A</v>
      </c>
      <c r="W138" s="4">
        <f>IF(AND($AB138=1,Processed_Data!C138="Maria.B"),Processed_Data!J138,NA())</f>
        <v>10791</v>
      </c>
      <c r="X138" s="8">
        <f>IF(AND($AB138=1,Processed_Data!C138="Maria.B"),Processed_Data!L138/100,NA())</f>
        <v>0.1</v>
      </c>
      <c r="Y138" s="4" t="e">
        <f>IF(AND($AB138=1,Processed_Data!C138="Sana Safinaz"),Processed_Data!J138,NA())</f>
        <v>#N/A</v>
      </c>
      <c r="Z138" s="8" t="e">
        <f>IF(AND($AB138=1,Processed_Data!C138="Sana Safinaz"),Processed_Data!L138/100,NA())</f>
        <v>#N/A</v>
      </c>
      <c r="AB138">
        <f>--AND(OR($B$2="All",Processed_Data!C138=$B$2),OR($B$3="All",Processed_Data!F138=$B$3),OR($B$4="All",Processed_Data!G138=$B$4),OR($B$5="All",Processed_Data!H138=$B$5),OR($B$6="All",Processed_Data!R138=$B$6),OR($B$7="All",Processed_Data!N138=$B$7))</f>
        <v>1</v>
      </c>
      <c r="AC138">
        <f>IF($AB138=1,Processed_Data!J138,"")</f>
        <v>10791</v>
      </c>
      <c r="AD138">
        <f>IF($AB138=1,Processed_Data!L138,0)</f>
        <v>10</v>
      </c>
      <c r="AE138">
        <f>IF($AB138=1,--(Processed_Data!M138="On Sale"),0)</f>
        <v>1</v>
      </c>
      <c r="AF138" t="str">
        <f>IF(AND($AB138=1,Processed_Data!C138="J."),Processed_Data!J138,"")</f>
        <v/>
      </c>
      <c r="AG138">
        <f>IF(AND($AB138=1,Processed_Data!C138="Maria.B"),Processed_Data!J138,"")</f>
        <v>10791</v>
      </c>
      <c r="AH138" t="str">
        <f>IF(AND($AB138=1,Processed_Data!C138="Sana Safinaz"),Processed_Data!J138,"")</f>
        <v/>
      </c>
      <c r="AI138">
        <f>IF(AND($AB138=1,Processed_Data!C138="J."),Processed_Data!L138,0)</f>
        <v>0</v>
      </c>
      <c r="AJ138">
        <f>IF(AND($AB138=1,Processed_Data!C138="Maria.B"),Processed_Data!L138,0)</f>
        <v>10</v>
      </c>
      <c r="AK138">
        <f>IF(AND($AB138=1,Processed_Data!C138="Sana Safinaz"),Processed_Data!L138,0)</f>
        <v>0</v>
      </c>
    </row>
    <row r="139" spans="21:37">
      <c r="U139" s="4" t="e">
        <f>IF(AND($AB139=1,Processed_Data!C139="J."),Processed_Data!J139,NA())</f>
        <v>#N/A</v>
      </c>
      <c r="V139" s="8" t="e">
        <f>IF(AND($AB139=1,Processed_Data!C139="J."),Processed_Data!L139/100,NA())</f>
        <v>#N/A</v>
      </c>
      <c r="W139" s="4">
        <f>IF(AND($AB139=1,Processed_Data!C139="Maria.B"),Processed_Data!J139,NA())</f>
        <v>19791</v>
      </c>
      <c r="X139" s="8">
        <f>IF(AND($AB139=1,Processed_Data!C139="Maria.B"),Processed_Data!L139/100,NA())</f>
        <v>0.1</v>
      </c>
      <c r="Y139" s="4" t="e">
        <f>IF(AND($AB139=1,Processed_Data!C139="Sana Safinaz"),Processed_Data!J139,NA())</f>
        <v>#N/A</v>
      </c>
      <c r="Z139" s="8" t="e">
        <f>IF(AND($AB139=1,Processed_Data!C139="Sana Safinaz"),Processed_Data!L139/100,NA())</f>
        <v>#N/A</v>
      </c>
      <c r="AB139">
        <f>--AND(OR($B$2="All",Processed_Data!C139=$B$2),OR($B$3="All",Processed_Data!F139=$B$3),OR($B$4="All",Processed_Data!G139=$B$4),OR($B$5="All",Processed_Data!H139=$B$5),OR($B$6="All",Processed_Data!R139=$B$6),OR($B$7="All",Processed_Data!N139=$B$7))</f>
        <v>1</v>
      </c>
      <c r="AC139">
        <f>IF($AB139=1,Processed_Data!J139,"")</f>
        <v>19791</v>
      </c>
      <c r="AD139">
        <f>IF($AB139=1,Processed_Data!L139,0)</f>
        <v>10</v>
      </c>
      <c r="AE139">
        <f>IF($AB139=1,--(Processed_Data!M139="On Sale"),0)</f>
        <v>1</v>
      </c>
      <c r="AF139" t="str">
        <f>IF(AND($AB139=1,Processed_Data!C139="J."),Processed_Data!J139,"")</f>
        <v/>
      </c>
      <c r="AG139">
        <f>IF(AND($AB139=1,Processed_Data!C139="Maria.B"),Processed_Data!J139,"")</f>
        <v>19791</v>
      </c>
      <c r="AH139" t="str">
        <f>IF(AND($AB139=1,Processed_Data!C139="Sana Safinaz"),Processed_Data!J139,"")</f>
        <v/>
      </c>
      <c r="AI139">
        <f>IF(AND($AB139=1,Processed_Data!C139="J."),Processed_Data!L139,0)</f>
        <v>0</v>
      </c>
      <c r="AJ139">
        <f>IF(AND($AB139=1,Processed_Data!C139="Maria.B"),Processed_Data!L139,0)</f>
        <v>10</v>
      </c>
      <c r="AK139">
        <f>IF(AND($AB139=1,Processed_Data!C139="Sana Safinaz"),Processed_Data!L139,0)</f>
        <v>0</v>
      </c>
    </row>
    <row r="140" spans="21:37">
      <c r="U140" s="4" t="e">
        <f>IF(AND($AB140=1,Processed_Data!C140="J."),Processed_Data!J140,NA())</f>
        <v>#N/A</v>
      </c>
      <c r="V140" s="8" t="e">
        <f>IF(AND($AB140=1,Processed_Data!C140="J."),Processed_Data!L140/100,NA())</f>
        <v>#N/A</v>
      </c>
      <c r="W140" s="4">
        <f>IF(AND($AB140=1,Processed_Data!C140="Maria.B"),Processed_Data!J140,NA())</f>
        <v>21591</v>
      </c>
      <c r="X140" s="8">
        <f>IF(AND($AB140=1,Processed_Data!C140="Maria.B"),Processed_Data!L140/100,NA())</f>
        <v>0.1</v>
      </c>
      <c r="Y140" s="4" t="e">
        <f>IF(AND($AB140=1,Processed_Data!C140="Sana Safinaz"),Processed_Data!J140,NA())</f>
        <v>#N/A</v>
      </c>
      <c r="Z140" s="8" t="e">
        <f>IF(AND($AB140=1,Processed_Data!C140="Sana Safinaz"),Processed_Data!L140/100,NA())</f>
        <v>#N/A</v>
      </c>
      <c r="AB140">
        <f>--AND(OR($B$2="All",Processed_Data!C140=$B$2),OR($B$3="All",Processed_Data!F140=$B$3),OR($B$4="All",Processed_Data!G140=$B$4),OR($B$5="All",Processed_Data!H140=$B$5),OR($B$6="All",Processed_Data!R140=$B$6),OR($B$7="All",Processed_Data!N140=$B$7))</f>
        <v>1</v>
      </c>
      <c r="AC140">
        <f>IF($AB140=1,Processed_Data!J140,"")</f>
        <v>21591</v>
      </c>
      <c r="AD140">
        <f>IF($AB140=1,Processed_Data!L140,0)</f>
        <v>10</v>
      </c>
      <c r="AE140">
        <f>IF($AB140=1,--(Processed_Data!M140="On Sale"),0)</f>
        <v>1</v>
      </c>
      <c r="AF140" t="str">
        <f>IF(AND($AB140=1,Processed_Data!C140="J."),Processed_Data!J140,"")</f>
        <v/>
      </c>
      <c r="AG140">
        <f>IF(AND($AB140=1,Processed_Data!C140="Maria.B"),Processed_Data!J140,"")</f>
        <v>21591</v>
      </c>
      <c r="AH140" t="str">
        <f>IF(AND($AB140=1,Processed_Data!C140="Sana Safinaz"),Processed_Data!J140,"")</f>
        <v/>
      </c>
      <c r="AI140">
        <f>IF(AND($AB140=1,Processed_Data!C140="J."),Processed_Data!L140,0)</f>
        <v>0</v>
      </c>
      <c r="AJ140">
        <f>IF(AND($AB140=1,Processed_Data!C140="Maria.B"),Processed_Data!L140,0)</f>
        <v>10</v>
      </c>
      <c r="AK140">
        <f>IF(AND($AB140=1,Processed_Data!C140="Sana Safinaz"),Processed_Data!L140,0)</f>
        <v>0</v>
      </c>
    </row>
    <row r="141" spans="21:37">
      <c r="U141" s="4" t="e">
        <f>IF(AND($AB141=1,Processed_Data!C141="J."),Processed_Data!J141,NA())</f>
        <v>#N/A</v>
      </c>
      <c r="V141" s="8" t="e">
        <f>IF(AND($AB141=1,Processed_Data!C141="J."),Processed_Data!L141/100,NA())</f>
        <v>#N/A</v>
      </c>
      <c r="W141" s="4">
        <f>IF(AND($AB141=1,Processed_Data!C141="Maria.B"),Processed_Data!J141,NA())</f>
        <v>21591</v>
      </c>
      <c r="X141" s="8">
        <f>IF(AND($AB141=1,Processed_Data!C141="Maria.B"),Processed_Data!L141/100,NA())</f>
        <v>0.1</v>
      </c>
      <c r="Y141" s="4" t="e">
        <f>IF(AND($AB141=1,Processed_Data!C141="Sana Safinaz"),Processed_Data!J141,NA())</f>
        <v>#N/A</v>
      </c>
      <c r="Z141" s="8" t="e">
        <f>IF(AND($AB141=1,Processed_Data!C141="Sana Safinaz"),Processed_Data!L141/100,NA())</f>
        <v>#N/A</v>
      </c>
      <c r="AB141">
        <f>--AND(OR($B$2="All",Processed_Data!C141=$B$2),OR($B$3="All",Processed_Data!F141=$B$3),OR($B$4="All",Processed_Data!G141=$B$4),OR($B$5="All",Processed_Data!H141=$B$5),OR($B$6="All",Processed_Data!R141=$B$6),OR($B$7="All",Processed_Data!N141=$B$7))</f>
        <v>1</v>
      </c>
      <c r="AC141">
        <f>IF($AB141=1,Processed_Data!J141,"")</f>
        <v>21591</v>
      </c>
      <c r="AD141">
        <f>IF($AB141=1,Processed_Data!L141,0)</f>
        <v>10</v>
      </c>
      <c r="AE141">
        <f>IF($AB141=1,--(Processed_Data!M141="On Sale"),0)</f>
        <v>1</v>
      </c>
      <c r="AF141" t="str">
        <f>IF(AND($AB141=1,Processed_Data!C141="J."),Processed_Data!J141,"")</f>
        <v/>
      </c>
      <c r="AG141">
        <f>IF(AND($AB141=1,Processed_Data!C141="Maria.B"),Processed_Data!J141,"")</f>
        <v>21591</v>
      </c>
      <c r="AH141" t="str">
        <f>IF(AND($AB141=1,Processed_Data!C141="Sana Safinaz"),Processed_Data!J141,"")</f>
        <v/>
      </c>
      <c r="AI141">
        <f>IF(AND($AB141=1,Processed_Data!C141="J."),Processed_Data!L141,0)</f>
        <v>0</v>
      </c>
      <c r="AJ141">
        <f>IF(AND($AB141=1,Processed_Data!C141="Maria.B"),Processed_Data!L141,0)</f>
        <v>10</v>
      </c>
      <c r="AK141">
        <f>IF(AND($AB141=1,Processed_Data!C141="Sana Safinaz"),Processed_Data!L141,0)</f>
        <v>0</v>
      </c>
    </row>
    <row r="142" spans="21:37">
      <c r="U142" s="4" t="e">
        <f>IF(AND($AB142=1,Processed_Data!C142="J."),Processed_Data!J142,NA())</f>
        <v>#N/A</v>
      </c>
      <c r="V142" s="8" t="e">
        <f>IF(AND($AB142=1,Processed_Data!C142="J."),Processed_Data!L142/100,NA())</f>
        <v>#N/A</v>
      </c>
      <c r="W142" s="4">
        <f>IF(AND($AB142=1,Processed_Data!C142="Maria.B"),Processed_Data!J142,NA())</f>
        <v>29990</v>
      </c>
      <c r="X142" s="8">
        <f>IF(AND($AB142=1,Processed_Data!C142="Maria.B"),Processed_Data!L142/100,NA())</f>
        <v>0</v>
      </c>
      <c r="Y142" s="4" t="e">
        <f>IF(AND($AB142=1,Processed_Data!C142="Sana Safinaz"),Processed_Data!J142,NA())</f>
        <v>#N/A</v>
      </c>
      <c r="Z142" s="8" t="e">
        <f>IF(AND($AB142=1,Processed_Data!C142="Sana Safinaz"),Processed_Data!L142/100,NA())</f>
        <v>#N/A</v>
      </c>
      <c r="AB142">
        <f>--AND(OR($B$2="All",Processed_Data!C142=$B$2),OR($B$3="All",Processed_Data!F142=$B$3),OR($B$4="All",Processed_Data!G142=$B$4),OR($B$5="All",Processed_Data!H142=$B$5),OR($B$6="All",Processed_Data!R142=$B$6),OR($B$7="All",Processed_Data!N142=$B$7))</f>
        <v>1</v>
      </c>
      <c r="AC142">
        <f>IF($AB142=1,Processed_Data!J142,"")</f>
        <v>29990</v>
      </c>
      <c r="AD142">
        <f>IF($AB142=1,Processed_Data!L142,0)</f>
        <v>0</v>
      </c>
      <c r="AE142">
        <f>IF($AB142=1,--(Processed_Data!M142="On Sale"),0)</f>
        <v>0</v>
      </c>
      <c r="AF142" t="str">
        <f>IF(AND($AB142=1,Processed_Data!C142="J."),Processed_Data!J142,"")</f>
        <v/>
      </c>
      <c r="AG142">
        <f>IF(AND($AB142=1,Processed_Data!C142="Maria.B"),Processed_Data!J142,"")</f>
        <v>29990</v>
      </c>
      <c r="AH142" t="str">
        <f>IF(AND($AB142=1,Processed_Data!C142="Sana Safinaz"),Processed_Data!J142,"")</f>
        <v/>
      </c>
      <c r="AI142">
        <f>IF(AND($AB142=1,Processed_Data!C142="J."),Processed_Data!L142,0)</f>
        <v>0</v>
      </c>
      <c r="AJ142">
        <f>IF(AND($AB142=1,Processed_Data!C142="Maria.B"),Processed_Data!L142,0)</f>
        <v>0</v>
      </c>
      <c r="AK142">
        <f>IF(AND($AB142=1,Processed_Data!C142="Sana Safinaz"),Processed_Data!L142,0)</f>
        <v>0</v>
      </c>
    </row>
    <row r="143" spans="21:37">
      <c r="U143" s="4" t="e">
        <f>IF(AND($AB143=1,Processed_Data!C143="J."),Processed_Data!J143,NA())</f>
        <v>#N/A</v>
      </c>
      <c r="V143" s="8" t="e">
        <f>IF(AND($AB143=1,Processed_Data!C143="J."),Processed_Data!L143/100,NA())</f>
        <v>#N/A</v>
      </c>
      <c r="W143" s="4">
        <f>IF(AND($AB143=1,Processed_Data!C143="Maria.B"),Processed_Data!J143,NA())</f>
        <v>30790</v>
      </c>
      <c r="X143" s="8">
        <f>IF(AND($AB143=1,Processed_Data!C143="Maria.B"),Processed_Data!L143/100,NA())</f>
        <v>0</v>
      </c>
      <c r="Y143" s="4" t="e">
        <f>IF(AND($AB143=1,Processed_Data!C143="Sana Safinaz"),Processed_Data!J143,NA())</f>
        <v>#N/A</v>
      </c>
      <c r="Z143" s="8" t="e">
        <f>IF(AND($AB143=1,Processed_Data!C143="Sana Safinaz"),Processed_Data!L143/100,NA())</f>
        <v>#N/A</v>
      </c>
      <c r="AB143">
        <f>--AND(OR($B$2="All",Processed_Data!C143=$B$2),OR($B$3="All",Processed_Data!F143=$B$3),OR($B$4="All",Processed_Data!G143=$B$4),OR($B$5="All",Processed_Data!H143=$B$5),OR($B$6="All",Processed_Data!R143=$B$6),OR($B$7="All",Processed_Data!N143=$B$7))</f>
        <v>1</v>
      </c>
      <c r="AC143">
        <f>IF($AB143=1,Processed_Data!J143,"")</f>
        <v>30790</v>
      </c>
      <c r="AD143">
        <f>IF($AB143=1,Processed_Data!L143,0)</f>
        <v>0</v>
      </c>
      <c r="AE143">
        <f>IF($AB143=1,--(Processed_Data!M143="On Sale"),0)</f>
        <v>0</v>
      </c>
      <c r="AF143" t="str">
        <f>IF(AND($AB143=1,Processed_Data!C143="J."),Processed_Data!J143,"")</f>
        <v/>
      </c>
      <c r="AG143">
        <f>IF(AND($AB143=1,Processed_Data!C143="Maria.B"),Processed_Data!J143,"")</f>
        <v>30790</v>
      </c>
      <c r="AH143" t="str">
        <f>IF(AND($AB143=1,Processed_Data!C143="Sana Safinaz"),Processed_Data!J143,"")</f>
        <v/>
      </c>
      <c r="AI143">
        <f>IF(AND($AB143=1,Processed_Data!C143="J."),Processed_Data!L143,0)</f>
        <v>0</v>
      </c>
      <c r="AJ143">
        <f>IF(AND($AB143=1,Processed_Data!C143="Maria.B"),Processed_Data!L143,0)</f>
        <v>0</v>
      </c>
      <c r="AK143">
        <f>IF(AND($AB143=1,Processed_Data!C143="Sana Safinaz"),Processed_Data!L143,0)</f>
        <v>0</v>
      </c>
    </row>
    <row r="144" spans="21:37">
      <c r="U144" s="4" t="e">
        <f>IF(AND($AB144=1,Processed_Data!C144="J."),Processed_Data!J144,NA())</f>
        <v>#N/A</v>
      </c>
      <c r="V144" s="8" t="e">
        <f>IF(AND($AB144=1,Processed_Data!C144="J."),Processed_Data!L144/100,NA())</f>
        <v>#N/A</v>
      </c>
      <c r="W144" s="4">
        <f>IF(AND($AB144=1,Processed_Data!C144="Maria.B"),Processed_Data!J144,NA())</f>
        <v>30790</v>
      </c>
      <c r="X144" s="8">
        <f>IF(AND($AB144=1,Processed_Data!C144="Maria.B"),Processed_Data!L144/100,NA())</f>
        <v>0</v>
      </c>
      <c r="Y144" s="4" t="e">
        <f>IF(AND($AB144=1,Processed_Data!C144="Sana Safinaz"),Processed_Data!J144,NA())</f>
        <v>#N/A</v>
      </c>
      <c r="Z144" s="8" t="e">
        <f>IF(AND($AB144=1,Processed_Data!C144="Sana Safinaz"),Processed_Data!L144/100,NA())</f>
        <v>#N/A</v>
      </c>
      <c r="AB144">
        <f>--AND(OR($B$2="All",Processed_Data!C144=$B$2),OR($B$3="All",Processed_Data!F144=$B$3),OR($B$4="All",Processed_Data!G144=$B$4),OR($B$5="All",Processed_Data!H144=$B$5),OR($B$6="All",Processed_Data!R144=$B$6),OR($B$7="All",Processed_Data!N144=$B$7))</f>
        <v>1</v>
      </c>
      <c r="AC144">
        <f>IF($AB144=1,Processed_Data!J144,"")</f>
        <v>30790</v>
      </c>
      <c r="AD144">
        <f>IF($AB144=1,Processed_Data!L144,0)</f>
        <v>0</v>
      </c>
      <c r="AE144">
        <f>IF($AB144=1,--(Processed_Data!M144="On Sale"),0)</f>
        <v>0</v>
      </c>
      <c r="AF144" t="str">
        <f>IF(AND($AB144=1,Processed_Data!C144="J."),Processed_Data!J144,"")</f>
        <v/>
      </c>
      <c r="AG144">
        <f>IF(AND($AB144=1,Processed_Data!C144="Maria.B"),Processed_Data!J144,"")</f>
        <v>30790</v>
      </c>
      <c r="AH144" t="str">
        <f>IF(AND($AB144=1,Processed_Data!C144="Sana Safinaz"),Processed_Data!J144,"")</f>
        <v/>
      </c>
      <c r="AI144">
        <f>IF(AND($AB144=1,Processed_Data!C144="J."),Processed_Data!L144,0)</f>
        <v>0</v>
      </c>
      <c r="AJ144">
        <f>IF(AND($AB144=1,Processed_Data!C144="Maria.B"),Processed_Data!L144,0)</f>
        <v>0</v>
      </c>
      <c r="AK144">
        <f>IF(AND($AB144=1,Processed_Data!C144="Sana Safinaz"),Processed_Data!L144,0)</f>
        <v>0</v>
      </c>
    </row>
    <row r="145" spans="21:37">
      <c r="U145" s="4" t="e">
        <f>IF(AND($AB145=1,Processed_Data!C145="J."),Processed_Data!J145,NA())</f>
        <v>#N/A</v>
      </c>
      <c r="V145" s="8" t="e">
        <f>IF(AND($AB145=1,Processed_Data!C145="J."),Processed_Data!L145/100,NA())</f>
        <v>#N/A</v>
      </c>
      <c r="W145" s="4">
        <f>IF(AND($AB145=1,Processed_Data!C145="Maria.B"),Processed_Data!J145,NA())</f>
        <v>29990</v>
      </c>
      <c r="X145" s="8">
        <f>IF(AND($AB145=1,Processed_Data!C145="Maria.B"),Processed_Data!L145/100,NA())</f>
        <v>0</v>
      </c>
      <c r="Y145" s="4" t="e">
        <f>IF(AND($AB145=1,Processed_Data!C145="Sana Safinaz"),Processed_Data!J145,NA())</f>
        <v>#N/A</v>
      </c>
      <c r="Z145" s="8" t="e">
        <f>IF(AND($AB145=1,Processed_Data!C145="Sana Safinaz"),Processed_Data!L145/100,NA())</f>
        <v>#N/A</v>
      </c>
      <c r="AB145">
        <f>--AND(OR($B$2="All",Processed_Data!C145=$B$2),OR($B$3="All",Processed_Data!F145=$B$3),OR($B$4="All",Processed_Data!G145=$B$4),OR($B$5="All",Processed_Data!H145=$B$5),OR($B$6="All",Processed_Data!R145=$B$6),OR($B$7="All",Processed_Data!N145=$B$7))</f>
        <v>1</v>
      </c>
      <c r="AC145">
        <f>IF($AB145=1,Processed_Data!J145,"")</f>
        <v>29990</v>
      </c>
      <c r="AD145">
        <f>IF($AB145=1,Processed_Data!L145,0)</f>
        <v>0</v>
      </c>
      <c r="AE145">
        <f>IF($AB145=1,--(Processed_Data!M145="On Sale"),0)</f>
        <v>0</v>
      </c>
      <c r="AF145" t="str">
        <f>IF(AND($AB145=1,Processed_Data!C145="J."),Processed_Data!J145,"")</f>
        <v/>
      </c>
      <c r="AG145">
        <f>IF(AND($AB145=1,Processed_Data!C145="Maria.B"),Processed_Data!J145,"")</f>
        <v>29990</v>
      </c>
      <c r="AH145" t="str">
        <f>IF(AND($AB145=1,Processed_Data!C145="Sana Safinaz"),Processed_Data!J145,"")</f>
        <v/>
      </c>
      <c r="AI145">
        <f>IF(AND($AB145=1,Processed_Data!C145="J."),Processed_Data!L145,0)</f>
        <v>0</v>
      </c>
      <c r="AJ145">
        <f>IF(AND($AB145=1,Processed_Data!C145="Maria.B"),Processed_Data!L145,0)</f>
        <v>0</v>
      </c>
      <c r="AK145">
        <f>IF(AND($AB145=1,Processed_Data!C145="Sana Safinaz"),Processed_Data!L145,0)</f>
        <v>0</v>
      </c>
    </row>
    <row r="146" spans="21:37">
      <c r="U146" s="4" t="e">
        <f>IF(AND($AB146=1,Processed_Data!C146="J."),Processed_Data!J146,NA())</f>
        <v>#N/A</v>
      </c>
      <c r="V146" s="8" t="e">
        <f>IF(AND($AB146=1,Processed_Data!C146="J."),Processed_Data!L146/100,NA())</f>
        <v>#N/A</v>
      </c>
      <c r="W146" s="4">
        <f>IF(AND($AB146=1,Processed_Data!C146="Maria.B"),Processed_Data!J146,NA())</f>
        <v>27990</v>
      </c>
      <c r="X146" s="8">
        <f>IF(AND($AB146=1,Processed_Data!C146="Maria.B"),Processed_Data!L146/100,NA())</f>
        <v>0</v>
      </c>
      <c r="Y146" s="4" t="e">
        <f>IF(AND($AB146=1,Processed_Data!C146="Sana Safinaz"),Processed_Data!J146,NA())</f>
        <v>#N/A</v>
      </c>
      <c r="Z146" s="8" t="e">
        <f>IF(AND($AB146=1,Processed_Data!C146="Sana Safinaz"),Processed_Data!L146/100,NA())</f>
        <v>#N/A</v>
      </c>
      <c r="AB146">
        <f>--AND(OR($B$2="All",Processed_Data!C146=$B$2),OR($B$3="All",Processed_Data!F146=$B$3),OR($B$4="All",Processed_Data!G146=$B$4),OR($B$5="All",Processed_Data!H146=$B$5),OR($B$6="All",Processed_Data!R146=$B$6),OR($B$7="All",Processed_Data!N146=$B$7))</f>
        <v>1</v>
      </c>
      <c r="AC146">
        <f>IF($AB146=1,Processed_Data!J146,"")</f>
        <v>27990</v>
      </c>
      <c r="AD146">
        <f>IF($AB146=1,Processed_Data!L146,0)</f>
        <v>0</v>
      </c>
      <c r="AE146">
        <f>IF($AB146=1,--(Processed_Data!M146="On Sale"),0)</f>
        <v>0</v>
      </c>
      <c r="AF146" t="str">
        <f>IF(AND($AB146=1,Processed_Data!C146="J."),Processed_Data!J146,"")</f>
        <v/>
      </c>
      <c r="AG146">
        <f>IF(AND($AB146=1,Processed_Data!C146="Maria.B"),Processed_Data!J146,"")</f>
        <v>27990</v>
      </c>
      <c r="AH146" t="str">
        <f>IF(AND($AB146=1,Processed_Data!C146="Sana Safinaz"),Processed_Data!J146,"")</f>
        <v/>
      </c>
      <c r="AI146">
        <f>IF(AND($AB146=1,Processed_Data!C146="J."),Processed_Data!L146,0)</f>
        <v>0</v>
      </c>
      <c r="AJ146">
        <f>IF(AND($AB146=1,Processed_Data!C146="Maria.B"),Processed_Data!L146,0)</f>
        <v>0</v>
      </c>
      <c r="AK146">
        <f>IF(AND($AB146=1,Processed_Data!C146="Sana Safinaz"),Processed_Data!L146,0)</f>
        <v>0</v>
      </c>
    </row>
    <row r="147" spans="21:37">
      <c r="U147" s="4" t="e">
        <f>IF(AND($AB147=1,Processed_Data!C147="J."),Processed_Data!J147,NA())</f>
        <v>#N/A</v>
      </c>
      <c r="V147" s="8" t="e">
        <f>IF(AND($AB147=1,Processed_Data!C147="J."),Processed_Data!L147/100,NA())</f>
        <v>#N/A</v>
      </c>
      <c r="W147" s="4">
        <f>IF(AND($AB147=1,Processed_Data!C147="Maria.B"),Processed_Data!J147,NA())</f>
        <v>29990</v>
      </c>
      <c r="X147" s="8">
        <f>IF(AND($AB147=1,Processed_Data!C147="Maria.B"),Processed_Data!L147/100,NA())</f>
        <v>0</v>
      </c>
      <c r="Y147" s="4" t="e">
        <f>IF(AND($AB147=1,Processed_Data!C147="Sana Safinaz"),Processed_Data!J147,NA())</f>
        <v>#N/A</v>
      </c>
      <c r="Z147" s="8" t="e">
        <f>IF(AND($AB147=1,Processed_Data!C147="Sana Safinaz"),Processed_Data!L147/100,NA())</f>
        <v>#N/A</v>
      </c>
      <c r="AB147">
        <f>--AND(OR($B$2="All",Processed_Data!C147=$B$2),OR($B$3="All",Processed_Data!F147=$B$3),OR($B$4="All",Processed_Data!G147=$B$4),OR($B$5="All",Processed_Data!H147=$B$5),OR($B$6="All",Processed_Data!R147=$B$6),OR($B$7="All",Processed_Data!N147=$B$7))</f>
        <v>1</v>
      </c>
      <c r="AC147">
        <f>IF($AB147=1,Processed_Data!J147,"")</f>
        <v>29990</v>
      </c>
      <c r="AD147">
        <f>IF($AB147=1,Processed_Data!L147,0)</f>
        <v>0</v>
      </c>
      <c r="AE147">
        <f>IF($AB147=1,--(Processed_Data!M147="On Sale"),0)</f>
        <v>0</v>
      </c>
      <c r="AF147" t="str">
        <f>IF(AND($AB147=1,Processed_Data!C147="J."),Processed_Data!J147,"")</f>
        <v/>
      </c>
      <c r="AG147">
        <f>IF(AND($AB147=1,Processed_Data!C147="Maria.B"),Processed_Data!J147,"")</f>
        <v>29990</v>
      </c>
      <c r="AH147" t="str">
        <f>IF(AND($AB147=1,Processed_Data!C147="Sana Safinaz"),Processed_Data!J147,"")</f>
        <v/>
      </c>
      <c r="AI147">
        <f>IF(AND($AB147=1,Processed_Data!C147="J."),Processed_Data!L147,0)</f>
        <v>0</v>
      </c>
      <c r="AJ147">
        <f>IF(AND($AB147=1,Processed_Data!C147="Maria.B"),Processed_Data!L147,0)</f>
        <v>0</v>
      </c>
      <c r="AK147">
        <f>IF(AND($AB147=1,Processed_Data!C147="Sana Safinaz"),Processed_Data!L147,0)</f>
        <v>0</v>
      </c>
    </row>
    <row r="148" spans="21:37">
      <c r="U148" s="4" t="e">
        <f>IF(AND($AB148=1,Processed_Data!C148="J."),Processed_Data!J148,NA())</f>
        <v>#N/A</v>
      </c>
      <c r="V148" s="8" t="e">
        <f>IF(AND($AB148=1,Processed_Data!C148="J."),Processed_Data!L148/100,NA())</f>
        <v>#N/A</v>
      </c>
      <c r="W148" s="4">
        <f>IF(AND($AB148=1,Processed_Data!C148="Maria.B"),Processed_Data!J148,NA())</f>
        <v>29990</v>
      </c>
      <c r="X148" s="8">
        <f>IF(AND($AB148=1,Processed_Data!C148="Maria.B"),Processed_Data!L148/100,NA())</f>
        <v>0</v>
      </c>
      <c r="Y148" s="4" t="e">
        <f>IF(AND($AB148=1,Processed_Data!C148="Sana Safinaz"),Processed_Data!J148,NA())</f>
        <v>#N/A</v>
      </c>
      <c r="Z148" s="8" t="e">
        <f>IF(AND($AB148=1,Processed_Data!C148="Sana Safinaz"),Processed_Data!L148/100,NA())</f>
        <v>#N/A</v>
      </c>
      <c r="AB148">
        <f>--AND(OR($B$2="All",Processed_Data!C148=$B$2),OR($B$3="All",Processed_Data!F148=$B$3),OR($B$4="All",Processed_Data!G148=$B$4),OR($B$5="All",Processed_Data!H148=$B$5),OR($B$6="All",Processed_Data!R148=$B$6),OR($B$7="All",Processed_Data!N148=$B$7))</f>
        <v>1</v>
      </c>
      <c r="AC148">
        <f>IF($AB148=1,Processed_Data!J148,"")</f>
        <v>29990</v>
      </c>
      <c r="AD148">
        <f>IF($AB148=1,Processed_Data!L148,0)</f>
        <v>0</v>
      </c>
      <c r="AE148">
        <f>IF($AB148=1,--(Processed_Data!M148="On Sale"),0)</f>
        <v>0</v>
      </c>
      <c r="AF148" t="str">
        <f>IF(AND($AB148=1,Processed_Data!C148="J."),Processed_Data!J148,"")</f>
        <v/>
      </c>
      <c r="AG148">
        <f>IF(AND($AB148=1,Processed_Data!C148="Maria.B"),Processed_Data!J148,"")</f>
        <v>29990</v>
      </c>
      <c r="AH148" t="str">
        <f>IF(AND($AB148=1,Processed_Data!C148="Sana Safinaz"),Processed_Data!J148,"")</f>
        <v/>
      </c>
      <c r="AI148">
        <f>IF(AND($AB148=1,Processed_Data!C148="J."),Processed_Data!L148,0)</f>
        <v>0</v>
      </c>
      <c r="AJ148">
        <f>IF(AND($AB148=1,Processed_Data!C148="Maria.B"),Processed_Data!L148,0)</f>
        <v>0</v>
      </c>
      <c r="AK148">
        <f>IF(AND($AB148=1,Processed_Data!C148="Sana Safinaz"),Processed_Data!L148,0)</f>
        <v>0</v>
      </c>
    </row>
    <row r="149" spans="21:37">
      <c r="U149" s="4" t="e">
        <f>IF(AND($AB149=1,Processed_Data!C149="J."),Processed_Data!J149,NA())</f>
        <v>#N/A</v>
      </c>
      <c r="V149" s="8" t="e">
        <f>IF(AND($AB149=1,Processed_Data!C149="J."),Processed_Data!L149/100,NA())</f>
        <v>#N/A</v>
      </c>
      <c r="W149" s="4">
        <f>IF(AND($AB149=1,Processed_Data!C149="Maria.B"),Processed_Data!J149,NA())</f>
        <v>29990</v>
      </c>
      <c r="X149" s="8">
        <f>IF(AND($AB149=1,Processed_Data!C149="Maria.B"),Processed_Data!L149/100,NA())</f>
        <v>0</v>
      </c>
      <c r="Y149" s="4" t="e">
        <f>IF(AND($AB149=1,Processed_Data!C149="Sana Safinaz"),Processed_Data!J149,NA())</f>
        <v>#N/A</v>
      </c>
      <c r="Z149" s="8" t="e">
        <f>IF(AND($AB149=1,Processed_Data!C149="Sana Safinaz"),Processed_Data!L149/100,NA())</f>
        <v>#N/A</v>
      </c>
      <c r="AB149">
        <f>--AND(OR($B$2="All",Processed_Data!C149=$B$2),OR($B$3="All",Processed_Data!F149=$B$3),OR($B$4="All",Processed_Data!G149=$B$4),OR($B$5="All",Processed_Data!H149=$B$5),OR($B$6="All",Processed_Data!R149=$B$6),OR($B$7="All",Processed_Data!N149=$B$7))</f>
        <v>1</v>
      </c>
      <c r="AC149">
        <f>IF($AB149=1,Processed_Data!J149,"")</f>
        <v>29990</v>
      </c>
      <c r="AD149">
        <f>IF($AB149=1,Processed_Data!L149,0)</f>
        <v>0</v>
      </c>
      <c r="AE149">
        <f>IF($AB149=1,--(Processed_Data!M149="On Sale"),0)</f>
        <v>0</v>
      </c>
      <c r="AF149" t="str">
        <f>IF(AND($AB149=1,Processed_Data!C149="J."),Processed_Data!J149,"")</f>
        <v/>
      </c>
      <c r="AG149">
        <f>IF(AND($AB149=1,Processed_Data!C149="Maria.B"),Processed_Data!J149,"")</f>
        <v>29990</v>
      </c>
      <c r="AH149" t="str">
        <f>IF(AND($AB149=1,Processed_Data!C149="Sana Safinaz"),Processed_Data!J149,"")</f>
        <v/>
      </c>
      <c r="AI149">
        <f>IF(AND($AB149=1,Processed_Data!C149="J."),Processed_Data!L149,0)</f>
        <v>0</v>
      </c>
      <c r="AJ149">
        <f>IF(AND($AB149=1,Processed_Data!C149="Maria.B"),Processed_Data!L149,0)</f>
        <v>0</v>
      </c>
      <c r="AK149">
        <f>IF(AND($AB149=1,Processed_Data!C149="Sana Safinaz"),Processed_Data!L149,0)</f>
        <v>0</v>
      </c>
    </row>
    <row r="150" spans="21:37">
      <c r="U150" s="4" t="e">
        <f>IF(AND($AB150=1,Processed_Data!C150="J."),Processed_Data!J150,NA())</f>
        <v>#N/A</v>
      </c>
      <c r="V150" s="8" t="e">
        <f>IF(AND($AB150=1,Processed_Data!C150="J."),Processed_Data!L150/100,NA())</f>
        <v>#N/A</v>
      </c>
      <c r="W150" s="4">
        <f>IF(AND($AB150=1,Processed_Data!C150="Maria.B"),Processed_Data!J150,NA())</f>
        <v>31490</v>
      </c>
      <c r="X150" s="8">
        <f>IF(AND($AB150=1,Processed_Data!C150="Maria.B"),Processed_Data!L150/100,NA())</f>
        <v>0</v>
      </c>
      <c r="Y150" s="4" t="e">
        <f>IF(AND($AB150=1,Processed_Data!C150="Sana Safinaz"),Processed_Data!J150,NA())</f>
        <v>#N/A</v>
      </c>
      <c r="Z150" s="8" t="e">
        <f>IF(AND($AB150=1,Processed_Data!C150="Sana Safinaz"),Processed_Data!L150/100,NA())</f>
        <v>#N/A</v>
      </c>
      <c r="AB150">
        <f>--AND(OR($B$2="All",Processed_Data!C150=$B$2),OR($B$3="All",Processed_Data!F150=$B$3),OR($B$4="All",Processed_Data!G150=$B$4),OR($B$5="All",Processed_Data!H150=$B$5),OR($B$6="All",Processed_Data!R150=$B$6),OR($B$7="All",Processed_Data!N150=$B$7))</f>
        <v>1</v>
      </c>
      <c r="AC150">
        <f>IF($AB150=1,Processed_Data!J150,"")</f>
        <v>31490</v>
      </c>
      <c r="AD150">
        <f>IF($AB150=1,Processed_Data!L150,0)</f>
        <v>0</v>
      </c>
      <c r="AE150">
        <f>IF($AB150=1,--(Processed_Data!M150="On Sale"),0)</f>
        <v>0</v>
      </c>
      <c r="AF150" t="str">
        <f>IF(AND($AB150=1,Processed_Data!C150="J."),Processed_Data!J150,"")</f>
        <v/>
      </c>
      <c r="AG150">
        <f>IF(AND($AB150=1,Processed_Data!C150="Maria.B"),Processed_Data!J150,"")</f>
        <v>31490</v>
      </c>
      <c r="AH150" t="str">
        <f>IF(AND($AB150=1,Processed_Data!C150="Sana Safinaz"),Processed_Data!J150,"")</f>
        <v/>
      </c>
      <c r="AI150">
        <f>IF(AND($AB150=1,Processed_Data!C150="J."),Processed_Data!L150,0)</f>
        <v>0</v>
      </c>
      <c r="AJ150">
        <f>IF(AND($AB150=1,Processed_Data!C150="Maria.B"),Processed_Data!L150,0)</f>
        <v>0</v>
      </c>
      <c r="AK150">
        <f>IF(AND($AB150=1,Processed_Data!C150="Sana Safinaz"),Processed_Data!L150,0)</f>
        <v>0</v>
      </c>
    </row>
    <row r="151" spans="21:37">
      <c r="U151" s="4" t="e">
        <f>IF(AND($AB151=1,Processed_Data!C151="J."),Processed_Data!J151,NA())</f>
        <v>#N/A</v>
      </c>
      <c r="V151" s="8" t="e">
        <f>IF(AND($AB151=1,Processed_Data!C151="J."),Processed_Data!L151/100,NA())</f>
        <v>#N/A</v>
      </c>
      <c r="W151" s="4">
        <f>IF(AND($AB151=1,Processed_Data!C151="Maria.B"),Processed_Data!J151,NA())</f>
        <v>29990</v>
      </c>
      <c r="X151" s="8">
        <f>IF(AND($AB151=1,Processed_Data!C151="Maria.B"),Processed_Data!L151/100,NA())</f>
        <v>0</v>
      </c>
      <c r="Y151" s="4" t="e">
        <f>IF(AND($AB151=1,Processed_Data!C151="Sana Safinaz"),Processed_Data!J151,NA())</f>
        <v>#N/A</v>
      </c>
      <c r="Z151" s="8" t="e">
        <f>IF(AND($AB151=1,Processed_Data!C151="Sana Safinaz"),Processed_Data!L151/100,NA())</f>
        <v>#N/A</v>
      </c>
      <c r="AB151">
        <f>--AND(OR($B$2="All",Processed_Data!C151=$B$2),OR($B$3="All",Processed_Data!F151=$B$3),OR($B$4="All",Processed_Data!G151=$B$4),OR($B$5="All",Processed_Data!H151=$B$5),OR($B$6="All",Processed_Data!R151=$B$6),OR($B$7="All",Processed_Data!N151=$B$7))</f>
        <v>1</v>
      </c>
      <c r="AC151">
        <f>IF($AB151=1,Processed_Data!J151,"")</f>
        <v>29990</v>
      </c>
      <c r="AD151">
        <f>IF($AB151=1,Processed_Data!L151,0)</f>
        <v>0</v>
      </c>
      <c r="AE151">
        <f>IF($AB151=1,--(Processed_Data!M151="On Sale"),0)</f>
        <v>0</v>
      </c>
      <c r="AF151" t="str">
        <f>IF(AND($AB151=1,Processed_Data!C151="J."),Processed_Data!J151,"")</f>
        <v/>
      </c>
      <c r="AG151">
        <f>IF(AND($AB151=1,Processed_Data!C151="Maria.B"),Processed_Data!J151,"")</f>
        <v>29990</v>
      </c>
      <c r="AH151" t="str">
        <f>IF(AND($AB151=1,Processed_Data!C151="Sana Safinaz"),Processed_Data!J151,"")</f>
        <v/>
      </c>
      <c r="AI151">
        <f>IF(AND($AB151=1,Processed_Data!C151="J."),Processed_Data!L151,0)</f>
        <v>0</v>
      </c>
      <c r="AJ151">
        <f>IF(AND($AB151=1,Processed_Data!C151="Maria.B"),Processed_Data!L151,0)</f>
        <v>0</v>
      </c>
      <c r="AK151">
        <f>IF(AND($AB151=1,Processed_Data!C151="Sana Safinaz"),Processed_Data!L151,0)</f>
        <v>0</v>
      </c>
    </row>
    <row r="152" spans="21:37">
      <c r="U152" s="4" t="e">
        <f>IF(AND($AB152=1,Processed_Data!C152="J."),Processed_Data!J152,NA())</f>
        <v>#N/A</v>
      </c>
      <c r="V152" s="8" t="e">
        <f>IF(AND($AB152=1,Processed_Data!C152="J."),Processed_Data!L152/100,NA())</f>
        <v>#N/A</v>
      </c>
      <c r="W152" s="4">
        <f>IF(AND($AB152=1,Processed_Data!C152="Maria.B"),Processed_Data!J152,NA())</f>
        <v>17990</v>
      </c>
      <c r="X152" s="8">
        <f>IF(AND($AB152=1,Processed_Data!C152="Maria.B"),Processed_Data!L152/100,NA())</f>
        <v>0</v>
      </c>
      <c r="Y152" s="4" t="e">
        <f>IF(AND($AB152=1,Processed_Data!C152="Sana Safinaz"),Processed_Data!J152,NA())</f>
        <v>#N/A</v>
      </c>
      <c r="Z152" s="8" t="e">
        <f>IF(AND($AB152=1,Processed_Data!C152="Sana Safinaz"),Processed_Data!L152/100,NA())</f>
        <v>#N/A</v>
      </c>
      <c r="AB152">
        <f>--AND(OR($B$2="All",Processed_Data!C152=$B$2),OR($B$3="All",Processed_Data!F152=$B$3),OR($B$4="All",Processed_Data!G152=$B$4),OR($B$5="All",Processed_Data!H152=$B$5),OR($B$6="All",Processed_Data!R152=$B$6),OR($B$7="All",Processed_Data!N152=$B$7))</f>
        <v>1</v>
      </c>
      <c r="AC152">
        <f>IF($AB152=1,Processed_Data!J152,"")</f>
        <v>17990</v>
      </c>
      <c r="AD152">
        <f>IF($AB152=1,Processed_Data!L152,0)</f>
        <v>0</v>
      </c>
      <c r="AE152">
        <f>IF($AB152=1,--(Processed_Data!M152="On Sale"),0)</f>
        <v>0</v>
      </c>
      <c r="AF152" t="str">
        <f>IF(AND($AB152=1,Processed_Data!C152="J."),Processed_Data!J152,"")</f>
        <v/>
      </c>
      <c r="AG152">
        <f>IF(AND($AB152=1,Processed_Data!C152="Maria.B"),Processed_Data!J152,"")</f>
        <v>17990</v>
      </c>
      <c r="AH152" t="str">
        <f>IF(AND($AB152=1,Processed_Data!C152="Sana Safinaz"),Processed_Data!J152,"")</f>
        <v/>
      </c>
      <c r="AI152">
        <f>IF(AND($AB152=1,Processed_Data!C152="J."),Processed_Data!L152,0)</f>
        <v>0</v>
      </c>
      <c r="AJ152">
        <f>IF(AND($AB152=1,Processed_Data!C152="Maria.B"),Processed_Data!L152,0)</f>
        <v>0</v>
      </c>
      <c r="AK152">
        <f>IF(AND($AB152=1,Processed_Data!C152="Sana Safinaz"),Processed_Data!L152,0)</f>
        <v>0</v>
      </c>
    </row>
    <row r="153" spans="21:37">
      <c r="U153" s="4" t="e">
        <f>IF(AND($AB153=1,Processed_Data!C153="J."),Processed_Data!J153,NA())</f>
        <v>#N/A</v>
      </c>
      <c r="V153" s="8" t="e">
        <f>IF(AND($AB153=1,Processed_Data!C153="J."),Processed_Data!L153/100,NA())</f>
        <v>#N/A</v>
      </c>
      <c r="W153" s="4">
        <f>IF(AND($AB153=1,Processed_Data!C153="Maria.B"),Processed_Data!J153,NA())</f>
        <v>25990</v>
      </c>
      <c r="X153" s="8">
        <f>IF(AND($AB153=1,Processed_Data!C153="Maria.B"),Processed_Data!L153/100,NA())</f>
        <v>0</v>
      </c>
      <c r="Y153" s="4" t="e">
        <f>IF(AND($AB153=1,Processed_Data!C153="Sana Safinaz"),Processed_Data!J153,NA())</f>
        <v>#N/A</v>
      </c>
      <c r="Z153" s="8" t="e">
        <f>IF(AND($AB153=1,Processed_Data!C153="Sana Safinaz"),Processed_Data!L153/100,NA())</f>
        <v>#N/A</v>
      </c>
      <c r="AB153">
        <f>--AND(OR($B$2="All",Processed_Data!C153=$B$2),OR($B$3="All",Processed_Data!F153=$B$3),OR($B$4="All",Processed_Data!G153=$B$4),OR($B$5="All",Processed_Data!H153=$B$5),OR($B$6="All",Processed_Data!R153=$B$6),OR($B$7="All",Processed_Data!N153=$B$7))</f>
        <v>1</v>
      </c>
      <c r="AC153">
        <f>IF($AB153=1,Processed_Data!J153,"")</f>
        <v>25990</v>
      </c>
      <c r="AD153">
        <f>IF($AB153=1,Processed_Data!L153,0)</f>
        <v>0</v>
      </c>
      <c r="AE153">
        <f>IF($AB153=1,--(Processed_Data!M153="On Sale"),0)</f>
        <v>0</v>
      </c>
      <c r="AF153" t="str">
        <f>IF(AND($AB153=1,Processed_Data!C153="J."),Processed_Data!J153,"")</f>
        <v/>
      </c>
      <c r="AG153">
        <f>IF(AND($AB153=1,Processed_Data!C153="Maria.B"),Processed_Data!J153,"")</f>
        <v>25990</v>
      </c>
      <c r="AH153" t="str">
        <f>IF(AND($AB153=1,Processed_Data!C153="Sana Safinaz"),Processed_Data!J153,"")</f>
        <v/>
      </c>
      <c r="AI153">
        <f>IF(AND($AB153=1,Processed_Data!C153="J."),Processed_Data!L153,0)</f>
        <v>0</v>
      </c>
      <c r="AJ153">
        <f>IF(AND($AB153=1,Processed_Data!C153="Maria.B"),Processed_Data!L153,0)</f>
        <v>0</v>
      </c>
      <c r="AK153">
        <f>IF(AND($AB153=1,Processed_Data!C153="Sana Safinaz"),Processed_Data!L153,0)</f>
        <v>0</v>
      </c>
    </row>
    <row r="154" spans="21:37">
      <c r="U154" s="4" t="e">
        <f>IF(AND($AB154=1,Processed_Data!C154="J."),Processed_Data!J154,NA())</f>
        <v>#N/A</v>
      </c>
      <c r="V154" s="8" t="e">
        <f>IF(AND($AB154=1,Processed_Data!C154="J."),Processed_Data!L154/100,NA())</f>
        <v>#N/A</v>
      </c>
      <c r="W154" s="4">
        <f>IF(AND($AB154=1,Processed_Data!C154="Maria.B"),Processed_Data!J154,NA())</f>
        <v>17990</v>
      </c>
      <c r="X154" s="8">
        <f>IF(AND($AB154=1,Processed_Data!C154="Maria.B"),Processed_Data!L154/100,NA())</f>
        <v>0</v>
      </c>
      <c r="Y154" s="4" t="e">
        <f>IF(AND($AB154=1,Processed_Data!C154="Sana Safinaz"),Processed_Data!J154,NA())</f>
        <v>#N/A</v>
      </c>
      <c r="Z154" s="8" t="e">
        <f>IF(AND($AB154=1,Processed_Data!C154="Sana Safinaz"),Processed_Data!L154/100,NA())</f>
        <v>#N/A</v>
      </c>
      <c r="AB154">
        <f>--AND(OR($B$2="All",Processed_Data!C154=$B$2),OR($B$3="All",Processed_Data!F154=$B$3),OR($B$4="All",Processed_Data!G154=$B$4),OR($B$5="All",Processed_Data!H154=$B$5),OR($B$6="All",Processed_Data!R154=$B$6),OR($B$7="All",Processed_Data!N154=$B$7))</f>
        <v>1</v>
      </c>
      <c r="AC154">
        <f>IF($AB154=1,Processed_Data!J154,"")</f>
        <v>17990</v>
      </c>
      <c r="AD154">
        <f>IF($AB154=1,Processed_Data!L154,0)</f>
        <v>0</v>
      </c>
      <c r="AE154">
        <f>IF($AB154=1,--(Processed_Data!M154="On Sale"),0)</f>
        <v>0</v>
      </c>
      <c r="AF154" t="str">
        <f>IF(AND($AB154=1,Processed_Data!C154="J."),Processed_Data!J154,"")</f>
        <v/>
      </c>
      <c r="AG154">
        <f>IF(AND($AB154=1,Processed_Data!C154="Maria.B"),Processed_Data!J154,"")</f>
        <v>17990</v>
      </c>
      <c r="AH154" t="str">
        <f>IF(AND($AB154=1,Processed_Data!C154="Sana Safinaz"),Processed_Data!J154,"")</f>
        <v/>
      </c>
      <c r="AI154">
        <f>IF(AND($AB154=1,Processed_Data!C154="J."),Processed_Data!L154,0)</f>
        <v>0</v>
      </c>
      <c r="AJ154">
        <f>IF(AND($AB154=1,Processed_Data!C154="Maria.B"),Processed_Data!L154,0)</f>
        <v>0</v>
      </c>
      <c r="AK154">
        <f>IF(AND($AB154=1,Processed_Data!C154="Sana Safinaz"),Processed_Data!L154,0)</f>
        <v>0</v>
      </c>
    </row>
    <row r="155" spans="21:37">
      <c r="U155" s="4" t="e">
        <f>IF(AND($AB155=1,Processed_Data!C155="J."),Processed_Data!J155,NA())</f>
        <v>#N/A</v>
      </c>
      <c r="V155" s="8" t="e">
        <f>IF(AND($AB155=1,Processed_Data!C155="J."),Processed_Data!L155/100,NA())</f>
        <v>#N/A</v>
      </c>
      <c r="W155" s="4">
        <f>IF(AND($AB155=1,Processed_Data!C155="Maria.B"),Processed_Data!J155,NA())</f>
        <v>26990</v>
      </c>
      <c r="X155" s="8">
        <f>IF(AND($AB155=1,Processed_Data!C155="Maria.B"),Processed_Data!L155/100,NA())</f>
        <v>0</v>
      </c>
      <c r="Y155" s="4" t="e">
        <f>IF(AND($AB155=1,Processed_Data!C155="Sana Safinaz"),Processed_Data!J155,NA())</f>
        <v>#N/A</v>
      </c>
      <c r="Z155" s="8" t="e">
        <f>IF(AND($AB155=1,Processed_Data!C155="Sana Safinaz"),Processed_Data!L155/100,NA())</f>
        <v>#N/A</v>
      </c>
      <c r="AB155">
        <f>--AND(OR($B$2="All",Processed_Data!C155=$B$2),OR($B$3="All",Processed_Data!F155=$B$3),OR($B$4="All",Processed_Data!G155=$B$4),OR($B$5="All",Processed_Data!H155=$B$5),OR($B$6="All",Processed_Data!R155=$B$6),OR($B$7="All",Processed_Data!N155=$B$7))</f>
        <v>1</v>
      </c>
      <c r="AC155">
        <f>IF($AB155=1,Processed_Data!J155,"")</f>
        <v>26990</v>
      </c>
      <c r="AD155">
        <f>IF($AB155=1,Processed_Data!L155,0)</f>
        <v>0</v>
      </c>
      <c r="AE155">
        <f>IF($AB155=1,--(Processed_Data!M155="On Sale"),0)</f>
        <v>0</v>
      </c>
      <c r="AF155" t="str">
        <f>IF(AND($AB155=1,Processed_Data!C155="J."),Processed_Data!J155,"")</f>
        <v/>
      </c>
      <c r="AG155">
        <f>IF(AND($AB155=1,Processed_Data!C155="Maria.B"),Processed_Data!J155,"")</f>
        <v>26990</v>
      </c>
      <c r="AH155" t="str">
        <f>IF(AND($AB155=1,Processed_Data!C155="Sana Safinaz"),Processed_Data!J155,"")</f>
        <v/>
      </c>
      <c r="AI155">
        <f>IF(AND($AB155=1,Processed_Data!C155="J."),Processed_Data!L155,0)</f>
        <v>0</v>
      </c>
      <c r="AJ155">
        <f>IF(AND($AB155=1,Processed_Data!C155="Maria.B"),Processed_Data!L155,0)</f>
        <v>0</v>
      </c>
      <c r="AK155">
        <f>IF(AND($AB155=1,Processed_Data!C155="Sana Safinaz"),Processed_Data!L155,0)</f>
        <v>0</v>
      </c>
    </row>
    <row r="156" spans="21:37">
      <c r="U156" s="4" t="e">
        <f>IF(AND($AB156=1,Processed_Data!C156="J."),Processed_Data!J156,NA())</f>
        <v>#N/A</v>
      </c>
      <c r="V156" s="8" t="e">
        <f>IF(AND($AB156=1,Processed_Data!C156="J."),Processed_Data!L156/100,NA())</f>
        <v>#N/A</v>
      </c>
      <c r="W156" s="4">
        <f>IF(AND($AB156=1,Processed_Data!C156="Maria.B"),Processed_Data!J156,NA())</f>
        <v>22990</v>
      </c>
      <c r="X156" s="8">
        <f>IF(AND($AB156=1,Processed_Data!C156="Maria.B"),Processed_Data!L156/100,NA())</f>
        <v>0</v>
      </c>
      <c r="Y156" s="4" t="e">
        <f>IF(AND($AB156=1,Processed_Data!C156="Sana Safinaz"),Processed_Data!J156,NA())</f>
        <v>#N/A</v>
      </c>
      <c r="Z156" s="8" t="e">
        <f>IF(AND($AB156=1,Processed_Data!C156="Sana Safinaz"),Processed_Data!L156/100,NA())</f>
        <v>#N/A</v>
      </c>
      <c r="AB156">
        <f>--AND(OR($B$2="All",Processed_Data!C156=$B$2),OR($B$3="All",Processed_Data!F156=$B$3),OR($B$4="All",Processed_Data!G156=$B$4),OR($B$5="All",Processed_Data!H156=$B$5),OR($B$6="All",Processed_Data!R156=$B$6),OR($B$7="All",Processed_Data!N156=$B$7))</f>
        <v>1</v>
      </c>
      <c r="AC156">
        <f>IF($AB156=1,Processed_Data!J156,"")</f>
        <v>22990</v>
      </c>
      <c r="AD156">
        <f>IF($AB156=1,Processed_Data!L156,0)</f>
        <v>0</v>
      </c>
      <c r="AE156">
        <f>IF($AB156=1,--(Processed_Data!M156="On Sale"),0)</f>
        <v>0</v>
      </c>
      <c r="AF156" t="str">
        <f>IF(AND($AB156=1,Processed_Data!C156="J."),Processed_Data!J156,"")</f>
        <v/>
      </c>
      <c r="AG156">
        <f>IF(AND($AB156=1,Processed_Data!C156="Maria.B"),Processed_Data!J156,"")</f>
        <v>22990</v>
      </c>
      <c r="AH156" t="str">
        <f>IF(AND($AB156=1,Processed_Data!C156="Sana Safinaz"),Processed_Data!J156,"")</f>
        <v/>
      </c>
      <c r="AI156">
        <f>IF(AND($AB156=1,Processed_Data!C156="J."),Processed_Data!L156,0)</f>
        <v>0</v>
      </c>
      <c r="AJ156">
        <f>IF(AND($AB156=1,Processed_Data!C156="Maria.B"),Processed_Data!L156,0)</f>
        <v>0</v>
      </c>
      <c r="AK156">
        <f>IF(AND($AB156=1,Processed_Data!C156="Sana Safinaz"),Processed_Data!L156,0)</f>
        <v>0</v>
      </c>
    </row>
    <row r="157" spans="21:37">
      <c r="U157" s="4" t="e">
        <f>IF(AND($AB157=1,Processed_Data!C157="J."),Processed_Data!J157,NA())</f>
        <v>#N/A</v>
      </c>
      <c r="V157" s="8" t="e">
        <f>IF(AND($AB157=1,Processed_Data!C157="J."),Processed_Data!L157/100,NA())</f>
        <v>#N/A</v>
      </c>
      <c r="W157" s="4">
        <f>IF(AND($AB157=1,Processed_Data!C157="Maria.B"),Processed_Data!J157,NA())</f>
        <v>17990</v>
      </c>
      <c r="X157" s="8">
        <f>IF(AND($AB157=1,Processed_Data!C157="Maria.B"),Processed_Data!L157/100,NA())</f>
        <v>0</v>
      </c>
      <c r="Y157" s="4" t="e">
        <f>IF(AND($AB157=1,Processed_Data!C157="Sana Safinaz"),Processed_Data!J157,NA())</f>
        <v>#N/A</v>
      </c>
      <c r="Z157" s="8" t="e">
        <f>IF(AND($AB157=1,Processed_Data!C157="Sana Safinaz"),Processed_Data!L157/100,NA())</f>
        <v>#N/A</v>
      </c>
      <c r="AB157">
        <f>--AND(OR($B$2="All",Processed_Data!C157=$B$2),OR($B$3="All",Processed_Data!F157=$B$3),OR($B$4="All",Processed_Data!G157=$B$4),OR($B$5="All",Processed_Data!H157=$B$5),OR($B$6="All",Processed_Data!R157=$B$6),OR($B$7="All",Processed_Data!N157=$B$7))</f>
        <v>1</v>
      </c>
      <c r="AC157">
        <f>IF($AB157=1,Processed_Data!J157,"")</f>
        <v>17990</v>
      </c>
      <c r="AD157">
        <f>IF($AB157=1,Processed_Data!L157,0)</f>
        <v>0</v>
      </c>
      <c r="AE157">
        <f>IF($AB157=1,--(Processed_Data!M157="On Sale"),0)</f>
        <v>0</v>
      </c>
      <c r="AF157" t="str">
        <f>IF(AND($AB157=1,Processed_Data!C157="J."),Processed_Data!J157,"")</f>
        <v/>
      </c>
      <c r="AG157">
        <f>IF(AND($AB157=1,Processed_Data!C157="Maria.B"),Processed_Data!J157,"")</f>
        <v>17990</v>
      </c>
      <c r="AH157" t="str">
        <f>IF(AND($AB157=1,Processed_Data!C157="Sana Safinaz"),Processed_Data!J157,"")</f>
        <v/>
      </c>
      <c r="AI157">
        <f>IF(AND($AB157=1,Processed_Data!C157="J."),Processed_Data!L157,0)</f>
        <v>0</v>
      </c>
      <c r="AJ157">
        <f>IF(AND($AB157=1,Processed_Data!C157="Maria.B"),Processed_Data!L157,0)</f>
        <v>0</v>
      </c>
      <c r="AK157">
        <f>IF(AND($AB157=1,Processed_Data!C157="Sana Safinaz"),Processed_Data!L157,0)</f>
        <v>0</v>
      </c>
    </row>
    <row r="158" spans="21:37">
      <c r="U158" s="4" t="e">
        <f>IF(AND($AB158=1,Processed_Data!C158="J."),Processed_Data!J158,NA())</f>
        <v>#N/A</v>
      </c>
      <c r="V158" s="8" t="e">
        <f>IF(AND($AB158=1,Processed_Data!C158="J."),Processed_Data!L158/100,NA())</f>
        <v>#N/A</v>
      </c>
      <c r="W158" s="4">
        <f>IF(AND($AB158=1,Processed_Data!C158="Maria.B"),Processed_Data!J158,NA())</f>
        <v>27990</v>
      </c>
      <c r="X158" s="8">
        <f>IF(AND($AB158=1,Processed_Data!C158="Maria.B"),Processed_Data!L158/100,NA())</f>
        <v>0</v>
      </c>
      <c r="Y158" s="4" t="e">
        <f>IF(AND($AB158=1,Processed_Data!C158="Sana Safinaz"),Processed_Data!J158,NA())</f>
        <v>#N/A</v>
      </c>
      <c r="Z158" s="8" t="e">
        <f>IF(AND($AB158=1,Processed_Data!C158="Sana Safinaz"),Processed_Data!L158/100,NA())</f>
        <v>#N/A</v>
      </c>
      <c r="AB158">
        <f>--AND(OR($B$2="All",Processed_Data!C158=$B$2),OR($B$3="All",Processed_Data!F158=$B$3),OR($B$4="All",Processed_Data!G158=$B$4),OR($B$5="All",Processed_Data!H158=$B$5),OR($B$6="All",Processed_Data!R158=$B$6),OR($B$7="All",Processed_Data!N158=$B$7))</f>
        <v>1</v>
      </c>
      <c r="AC158">
        <f>IF($AB158=1,Processed_Data!J158,"")</f>
        <v>27990</v>
      </c>
      <c r="AD158">
        <f>IF($AB158=1,Processed_Data!L158,0)</f>
        <v>0</v>
      </c>
      <c r="AE158">
        <f>IF($AB158=1,--(Processed_Data!M158="On Sale"),0)</f>
        <v>0</v>
      </c>
      <c r="AF158" t="str">
        <f>IF(AND($AB158=1,Processed_Data!C158="J."),Processed_Data!J158,"")</f>
        <v/>
      </c>
      <c r="AG158">
        <f>IF(AND($AB158=1,Processed_Data!C158="Maria.B"),Processed_Data!J158,"")</f>
        <v>27990</v>
      </c>
      <c r="AH158" t="str">
        <f>IF(AND($AB158=1,Processed_Data!C158="Sana Safinaz"),Processed_Data!J158,"")</f>
        <v/>
      </c>
      <c r="AI158">
        <f>IF(AND($AB158=1,Processed_Data!C158="J."),Processed_Data!L158,0)</f>
        <v>0</v>
      </c>
      <c r="AJ158">
        <f>IF(AND($AB158=1,Processed_Data!C158="Maria.B"),Processed_Data!L158,0)</f>
        <v>0</v>
      </c>
      <c r="AK158">
        <f>IF(AND($AB158=1,Processed_Data!C158="Sana Safinaz"),Processed_Data!L158,0)</f>
        <v>0</v>
      </c>
    </row>
    <row r="159" spans="21:37">
      <c r="U159" s="4" t="e">
        <f>IF(AND($AB159=1,Processed_Data!C159="J."),Processed_Data!J159,NA())</f>
        <v>#N/A</v>
      </c>
      <c r="V159" s="8" t="e">
        <f>IF(AND($AB159=1,Processed_Data!C159="J."),Processed_Data!L159/100,NA())</f>
        <v>#N/A</v>
      </c>
      <c r="W159" s="4">
        <f>IF(AND($AB159=1,Processed_Data!C159="Maria.B"),Processed_Data!J159,NA())</f>
        <v>23990</v>
      </c>
      <c r="X159" s="8">
        <f>IF(AND($AB159=1,Processed_Data!C159="Maria.B"),Processed_Data!L159/100,NA())</f>
        <v>0</v>
      </c>
      <c r="Y159" s="4" t="e">
        <f>IF(AND($AB159=1,Processed_Data!C159="Sana Safinaz"),Processed_Data!J159,NA())</f>
        <v>#N/A</v>
      </c>
      <c r="Z159" s="8" t="e">
        <f>IF(AND($AB159=1,Processed_Data!C159="Sana Safinaz"),Processed_Data!L159/100,NA())</f>
        <v>#N/A</v>
      </c>
      <c r="AB159">
        <f>--AND(OR($B$2="All",Processed_Data!C159=$B$2),OR($B$3="All",Processed_Data!F159=$B$3),OR($B$4="All",Processed_Data!G159=$B$4),OR($B$5="All",Processed_Data!H159=$B$5),OR($B$6="All",Processed_Data!R159=$B$6),OR($B$7="All",Processed_Data!N159=$B$7))</f>
        <v>1</v>
      </c>
      <c r="AC159">
        <f>IF($AB159=1,Processed_Data!J159,"")</f>
        <v>23990</v>
      </c>
      <c r="AD159">
        <f>IF($AB159=1,Processed_Data!L159,0)</f>
        <v>0</v>
      </c>
      <c r="AE159">
        <f>IF($AB159=1,--(Processed_Data!M159="On Sale"),0)</f>
        <v>0</v>
      </c>
      <c r="AF159" t="str">
        <f>IF(AND($AB159=1,Processed_Data!C159="J."),Processed_Data!J159,"")</f>
        <v/>
      </c>
      <c r="AG159">
        <f>IF(AND($AB159=1,Processed_Data!C159="Maria.B"),Processed_Data!J159,"")</f>
        <v>23990</v>
      </c>
      <c r="AH159" t="str">
        <f>IF(AND($AB159=1,Processed_Data!C159="Sana Safinaz"),Processed_Data!J159,"")</f>
        <v/>
      </c>
      <c r="AI159">
        <f>IF(AND($AB159=1,Processed_Data!C159="J."),Processed_Data!L159,0)</f>
        <v>0</v>
      </c>
      <c r="AJ159">
        <f>IF(AND($AB159=1,Processed_Data!C159="Maria.B"),Processed_Data!L159,0)</f>
        <v>0</v>
      </c>
      <c r="AK159">
        <f>IF(AND($AB159=1,Processed_Data!C159="Sana Safinaz"),Processed_Data!L159,0)</f>
        <v>0</v>
      </c>
    </row>
    <row r="160" spans="21:37">
      <c r="U160" s="4" t="e">
        <f>IF(AND($AB160=1,Processed_Data!C160="J."),Processed_Data!J160,NA())</f>
        <v>#N/A</v>
      </c>
      <c r="V160" s="8" t="e">
        <f>IF(AND($AB160=1,Processed_Data!C160="J."),Processed_Data!L160/100,NA())</f>
        <v>#N/A</v>
      </c>
      <c r="W160" s="4">
        <f>IF(AND($AB160=1,Processed_Data!C160="Maria.B"),Processed_Data!J160,NA())</f>
        <v>20990</v>
      </c>
      <c r="X160" s="8">
        <f>IF(AND($AB160=1,Processed_Data!C160="Maria.B"),Processed_Data!L160/100,NA())</f>
        <v>0</v>
      </c>
      <c r="Y160" s="4" t="e">
        <f>IF(AND($AB160=1,Processed_Data!C160="Sana Safinaz"),Processed_Data!J160,NA())</f>
        <v>#N/A</v>
      </c>
      <c r="Z160" s="8" t="e">
        <f>IF(AND($AB160=1,Processed_Data!C160="Sana Safinaz"),Processed_Data!L160/100,NA())</f>
        <v>#N/A</v>
      </c>
      <c r="AB160">
        <f>--AND(OR($B$2="All",Processed_Data!C160=$B$2),OR($B$3="All",Processed_Data!F160=$B$3),OR($B$4="All",Processed_Data!G160=$B$4),OR($B$5="All",Processed_Data!H160=$B$5),OR($B$6="All",Processed_Data!R160=$B$6),OR($B$7="All",Processed_Data!N160=$B$7))</f>
        <v>1</v>
      </c>
      <c r="AC160">
        <f>IF($AB160=1,Processed_Data!J160,"")</f>
        <v>20990</v>
      </c>
      <c r="AD160">
        <f>IF($AB160=1,Processed_Data!L160,0)</f>
        <v>0</v>
      </c>
      <c r="AE160">
        <f>IF($AB160=1,--(Processed_Data!M160="On Sale"),0)</f>
        <v>0</v>
      </c>
      <c r="AF160" t="str">
        <f>IF(AND($AB160=1,Processed_Data!C160="J."),Processed_Data!J160,"")</f>
        <v/>
      </c>
      <c r="AG160">
        <f>IF(AND($AB160=1,Processed_Data!C160="Maria.B"),Processed_Data!J160,"")</f>
        <v>20990</v>
      </c>
      <c r="AH160" t="str">
        <f>IF(AND($AB160=1,Processed_Data!C160="Sana Safinaz"),Processed_Data!J160,"")</f>
        <v/>
      </c>
      <c r="AI160">
        <f>IF(AND($AB160=1,Processed_Data!C160="J."),Processed_Data!L160,0)</f>
        <v>0</v>
      </c>
      <c r="AJ160">
        <f>IF(AND($AB160=1,Processed_Data!C160="Maria.B"),Processed_Data!L160,0)</f>
        <v>0</v>
      </c>
      <c r="AK160">
        <f>IF(AND($AB160=1,Processed_Data!C160="Sana Safinaz"),Processed_Data!L160,0)</f>
        <v>0</v>
      </c>
    </row>
    <row r="161" spans="21:37">
      <c r="U161" s="4" t="e">
        <f>IF(AND($AB161=1,Processed_Data!C161="J."),Processed_Data!J161,NA())</f>
        <v>#N/A</v>
      </c>
      <c r="V161" s="8" t="e">
        <f>IF(AND($AB161=1,Processed_Data!C161="J."),Processed_Data!L161/100,NA())</f>
        <v>#N/A</v>
      </c>
      <c r="W161" s="4">
        <f>IF(AND($AB161=1,Processed_Data!C161="Maria.B"),Processed_Data!J161,NA())</f>
        <v>27990</v>
      </c>
      <c r="X161" s="8">
        <f>IF(AND($AB161=1,Processed_Data!C161="Maria.B"),Processed_Data!L161/100,NA())</f>
        <v>0</v>
      </c>
      <c r="Y161" s="4" t="e">
        <f>IF(AND($AB161=1,Processed_Data!C161="Sana Safinaz"),Processed_Data!J161,NA())</f>
        <v>#N/A</v>
      </c>
      <c r="Z161" s="8" t="e">
        <f>IF(AND($AB161=1,Processed_Data!C161="Sana Safinaz"),Processed_Data!L161/100,NA())</f>
        <v>#N/A</v>
      </c>
      <c r="AB161">
        <f>--AND(OR($B$2="All",Processed_Data!C161=$B$2),OR($B$3="All",Processed_Data!F161=$B$3),OR($B$4="All",Processed_Data!G161=$B$4),OR($B$5="All",Processed_Data!H161=$B$5),OR($B$6="All",Processed_Data!R161=$B$6),OR($B$7="All",Processed_Data!N161=$B$7))</f>
        <v>1</v>
      </c>
      <c r="AC161">
        <f>IF($AB161=1,Processed_Data!J161,"")</f>
        <v>27990</v>
      </c>
      <c r="AD161">
        <f>IF($AB161=1,Processed_Data!L161,0)</f>
        <v>0</v>
      </c>
      <c r="AE161">
        <f>IF($AB161=1,--(Processed_Data!M161="On Sale"),0)</f>
        <v>0</v>
      </c>
      <c r="AF161" t="str">
        <f>IF(AND($AB161=1,Processed_Data!C161="J."),Processed_Data!J161,"")</f>
        <v/>
      </c>
      <c r="AG161">
        <f>IF(AND($AB161=1,Processed_Data!C161="Maria.B"),Processed_Data!J161,"")</f>
        <v>27990</v>
      </c>
      <c r="AH161" t="str">
        <f>IF(AND($AB161=1,Processed_Data!C161="Sana Safinaz"),Processed_Data!J161,"")</f>
        <v/>
      </c>
      <c r="AI161">
        <f>IF(AND($AB161=1,Processed_Data!C161="J."),Processed_Data!L161,0)</f>
        <v>0</v>
      </c>
      <c r="AJ161">
        <f>IF(AND($AB161=1,Processed_Data!C161="Maria.B"),Processed_Data!L161,0)</f>
        <v>0</v>
      </c>
      <c r="AK161">
        <f>IF(AND($AB161=1,Processed_Data!C161="Sana Safinaz"),Processed_Data!L161,0)</f>
        <v>0</v>
      </c>
    </row>
    <row r="162" spans="21:37">
      <c r="U162" s="4" t="e">
        <f>IF(AND($AB162=1,Processed_Data!C162="J."),Processed_Data!J162,NA())</f>
        <v>#N/A</v>
      </c>
      <c r="V162" s="8" t="e">
        <f>IF(AND($AB162=1,Processed_Data!C162="J."),Processed_Data!L162/100,NA())</f>
        <v>#N/A</v>
      </c>
      <c r="W162" s="4">
        <f>IF(AND($AB162=1,Processed_Data!C162="Maria.B"),Processed_Data!J162,NA())</f>
        <v>29990</v>
      </c>
      <c r="X162" s="8">
        <f>IF(AND($AB162=1,Processed_Data!C162="Maria.B"),Processed_Data!L162/100,NA())</f>
        <v>0</v>
      </c>
      <c r="Y162" s="4" t="e">
        <f>IF(AND($AB162=1,Processed_Data!C162="Sana Safinaz"),Processed_Data!J162,NA())</f>
        <v>#N/A</v>
      </c>
      <c r="Z162" s="8" t="e">
        <f>IF(AND($AB162=1,Processed_Data!C162="Sana Safinaz"),Processed_Data!L162/100,NA())</f>
        <v>#N/A</v>
      </c>
      <c r="AB162">
        <f>--AND(OR($B$2="All",Processed_Data!C162=$B$2),OR($B$3="All",Processed_Data!F162=$B$3),OR($B$4="All",Processed_Data!G162=$B$4),OR($B$5="All",Processed_Data!H162=$B$5),OR($B$6="All",Processed_Data!R162=$B$6),OR($B$7="All",Processed_Data!N162=$B$7))</f>
        <v>1</v>
      </c>
      <c r="AC162">
        <f>IF($AB162=1,Processed_Data!J162,"")</f>
        <v>29990</v>
      </c>
      <c r="AD162">
        <f>IF($AB162=1,Processed_Data!L162,0)</f>
        <v>0</v>
      </c>
      <c r="AE162">
        <f>IF($AB162=1,--(Processed_Data!M162="On Sale"),0)</f>
        <v>0</v>
      </c>
      <c r="AF162" t="str">
        <f>IF(AND($AB162=1,Processed_Data!C162="J."),Processed_Data!J162,"")</f>
        <v/>
      </c>
      <c r="AG162">
        <f>IF(AND($AB162=1,Processed_Data!C162="Maria.B"),Processed_Data!J162,"")</f>
        <v>29990</v>
      </c>
      <c r="AH162" t="str">
        <f>IF(AND($AB162=1,Processed_Data!C162="Sana Safinaz"),Processed_Data!J162,"")</f>
        <v/>
      </c>
      <c r="AI162">
        <f>IF(AND($AB162=1,Processed_Data!C162="J."),Processed_Data!L162,0)</f>
        <v>0</v>
      </c>
      <c r="AJ162">
        <f>IF(AND($AB162=1,Processed_Data!C162="Maria.B"),Processed_Data!L162,0)</f>
        <v>0</v>
      </c>
      <c r="AK162">
        <f>IF(AND($AB162=1,Processed_Data!C162="Sana Safinaz"),Processed_Data!L162,0)</f>
        <v>0</v>
      </c>
    </row>
    <row r="163" spans="21:37">
      <c r="U163" s="4" t="e">
        <f>IF(AND($AB163=1,Processed_Data!C163="J."),Processed_Data!J163,NA())</f>
        <v>#N/A</v>
      </c>
      <c r="V163" s="8" t="e">
        <f>IF(AND($AB163=1,Processed_Data!C163="J."),Processed_Data!L163/100,NA())</f>
        <v>#N/A</v>
      </c>
      <c r="W163" s="4">
        <f>IF(AND($AB163=1,Processed_Data!C163="Maria.B"),Processed_Data!J163,NA())</f>
        <v>23990</v>
      </c>
      <c r="X163" s="8">
        <f>IF(AND($AB163=1,Processed_Data!C163="Maria.B"),Processed_Data!L163/100,NA())</f>
        <v>0</v>
      </c>
      <c r="Y163" s="4" t="e">
        <f>IF(AND($AB163=1,Processed_Data!C163="Sana Safinaz"),Processed_Data!J163,NA())</f>
        <v>#N/A</v>
      </c>
      <c r="Z163" s="8" t="e">
        <f>IF(AND($AB163=1,Processed_Data!C163="Sana Safinaz"),Processed_Data!L163/100,NA())</f>
        <v>#N/A</v>
      </c>
      <c r="AB163">
        <f>--AND(OR($B$2="All",Processed_Data!C163=$B$2),OR($B$3="All",Processed_Data!F163=$B$3),OR($B$4="All",Processed_Data!G163=$B$4),OR($B$5="All",Processed_Data!H163=$B$5),OR($B$6="All",Processed_Data!R163=$B$6),OR($B$7="All",Processed_Data!N163=$B$7))</f>
        <v>1</v>
      </c>
      <c r="AC163">
        <f>IF($AB163=1,Processed_Data!J163,"")</f>
        <v>23990</v>
      </c>
      <c r="AD163">
        <f>IF($AB163=1,Processed_Data!L163,0)</f>
        <v>0</v>
      </c>
      <c r="AE163">
        <f>IF($AB163=1,--(Processed_Data!M163="On Sale"),0)</f>
        <v>0</v>
      </c>
      <c r="AF163" t="str">
        <f>IF(AND($AB163=1,Processed_Data!C163="J."),Processed_Data!J163,"")</f>
        <v/>
      </c>
      <c r="AG163">
        <f>IF(AND($AB163=1,Processed_Data!C163="Maria.B"),Processed_Data!J163,"")</f>
        <v>23990</v>
      </c>
      <c r="AH163" t="str">
        <f>IF(AND($AB163=1,Processed_Data!C163="Sana Safinaz"),Processed_Data!J163,"")</f>
        <v/>
      </c>
      <c r="AI163">
        <f>IF(AND($AB163=1,Processed_Data!C163="J."),Processed_Data!L163,0)</f>
        <v>0</v>
      </c>
      <c r="AJ163">
        <f>IF(AND($AB163=1,Processed_Data!C163="Maria.B"),Processed_Data!L163,0)</f>
        <v>0</v>
      </c>
      <c r="AK163">
        <f>IF(AND($AB163=1,Processed_Data!C163="Sana Safinaz"),Processed_Data!L163,0)</f>
        <v>0</v>
      </c>
    </row>
    <row r="164" spans="21:37">
      <c r="U164" s="4" t="e">
        <f>IF(AND($AB164=1,Processed_Data!C164="J."),Processed_Data!J164,NA())</f>
        <v>#N/A</v>
      </c>
      <c r="V164" s="8" t="e">
        <f>IF(AND($AB164=1,Processed_Data!C164="J."),Processed_Data!L164/100,NA())</f>
        <v>#N/A</v>
      </c>
      <c r="W164" s="4">
        <f>IF(AND($AB164=1,Processed_Data!C164="Maria.B"),Processed_Data!J164,NA())</f>
        <v>22990</v>
      </c>
      <c r="X164" s="8">
        <f>IF(AND($AB164=1,Processed_Data!C164="Maria.B"),Processed_Data!L164/100,NA())</f>
        <v>0</v>
      </c>
      <c r="Y164" s="4" t="e">
        <f>IF(AND($AB164=1,Processed_Data!C164="Sana Safinaz"),Processed_Data!J164,NA())</f>
        <v>#N/A</v>
      </c>
      <c r="Z164" s="8" t="e">
        <f>IF(AND($AB164=1,Processed_Data!C164="Sana Safinaz"),Processed_Data!L164/100,NA())</f>
        <v>#N/A</v>
      </c>
      <c r="AB164">
        <f>--AND(OR($B$2="All",Processed_Data!C164=$B$2),OR($B$3="All",Processed_Data!F164=$B$3),OR($B$4="All",Processed_Data!G164=$B$4),OR($B$5="All",Processed_Data!H164=$B$5),OR($B$6="All",Processed_Data!R164=$B$6),OR($B$7="All",Processed_Data!N164=$B$7))</f>
        <v>1</v>
      </c>
      <c r="AC164">
        <f>IF($AB164=1,Processed_Data!J164,"")</f>
        <v>22990</v>
      </c>
      <c r="AD164">
        <f>IF($AB164=1,Processed_Data!L164,0)</f>
        <v>0</v>
      </c>
      <c r="AE164">
        <f>IF($AB164=1,--(Processed_Data!M164="On Sale"),0)</f>
        <v>0</v>
      </c>
      <c r="AF164" t="str">
        <f>IF(AND($AB164=1,Processed_Data!C164="J."),Processed_Data!J164,"")</f>
        <v/>
      </c>
      <c r="AG164">
        <f>IF(AND($AB164=1,Processed_Data!C164="Maria.B"),Processed_Data!J164,"")</f>
        <v>22990</v>
      </c>
      <c r="AH164" t="str">
        <f>IF(AND($AB164=1,Processed_Data!C164="Sana Safinaz"),Processed_Data!J164,"")</f>
        <v/>
      </c>
      <c r="AI164">
        <f>IF(AND($AB164=1,Processed_Data!C164="J."),Processed_Data!L164,0)</f>
        <v>0</v>
      </c>
      <c r="AJ164">
        <f>IF(AND($AB164=1,Processed_Data!C164="Maria.B"),Processed_Data!L164,0)</f>
        <v>0</v>
      </c>
      <c r="AK164">
        <f>IF(AND($AB164=1,Processed_Data!C164="Sana Safinaz"),Processed_Data!L164,0)</f>
        <v>0</v>
      </c>
    </row>
    <row r="165" spans="21:37">
      <c r="U165" s="4" t="e">
        <f>IF(AND($AB165=1,Processed_Data!C165="J."),Processed_Data!J165,NA())</f>
        <v>#N/A</v>
      </c>
      <c r="V165" s="8" t="e">
        <f>IF(AND($AB165=1,Processed_Data!C165="J."),Processed_Data!L165/100,NA())</f>
        <v>#N/A</v>
      </c>
      <c r="W165" s="4">
        <f>IF(AND($AB165=1,Processed_Data!C165="Maria.B"),Processed_Data!J165,NA())</f>
        <v>20990</v>
      </c>
      <c r="X165" s="8">
        <f>IF(AND($AB165=1,Processed_Data!C165="Maria.B"),Processed_Data!L165/100,NA())</f>
        <v>0</v>
      </c>
      <c r="Y165" s="4" t="e">
        <f>IF(AND($AB165=1,Processed_Data!C165="Sana Safinaz"),Processed_Data!J165,NA())</f>
        <v>#N/A</v>
      </c>
      <c r="Z165" s="8" t="e">
        <f>IF(AND($AB165=1,Processed_Data!C165="Sana Safinaz"),Processed_Data!L165/100,NA())</f>
        <v>#N/A</v>
      </c>
      <c r="AB165">
        <f>--AND(OR($B$2="All",Processed_Data!C165=$B$2),OR($B$3="All",Processed_Data!F165=$B$3),OR($B$4="All",Processed_Data!G165=$B$4),OR($B$5="All",Processed_Data!H165=$B$5),OR($B$6="All",Processed_Data!R165=$B$6),OR($B$7="All",Processed_Data!N165=$B$7))</f>
        <v>1</v>
      </c>
      <c r="AC165">
        <f>IF($AB165=1,Processed_Data!J165,"")</f>
        <v>20990</v>
      </c>
      <c r="AD165">
        <f>IF($AB165=1,Processed_Data!L165,0)</f>
        <v>0</v>
      </c>
      <c r="AE165">
        <f>IF($AB165=1,--(Processed_Data!M165="On Sale"),0)</f>
        <v>0</v>
      </c>
      <c r="AF165" t="str">
        <f>IF(AND($AB165=1,Processed_Data!C165="J."),Processed_Data!J165,"")</f>
        <v/>
      </c>
      <c r="AG165">
        <f>IF(AND($AB165=1,Processed_Data!C165="Maria.B"),Processed_Data!J165,"")</f>
        <v>20990</v>
      </c>
      <c r="AH165" t="str">
        <f>IF(AND($AB165=1,Processed_Data!C165="Sana Safinaz"),Processed_Data!J165,"")</f>
        <v/>
      </c>
      <c r="AI165">
        <f>IF(AND($AB165=1,Processed_Data!C165="J."),Processed_Data!L165,0)</f>
        <v>0</v>
      </c>
      <c r="AJ165">
        <f>IF(AND($AB165=1,Processed_Data!C165="Maria.B"),Processed_Data!L165,0)</f>
        <v>0</v>
      </c>
      <c r="AK165">
        <f>IF(AND($AB165=1,Processed_Data!C165="Sana Safinaz"),Processed_Data!L165,0)</f>
        <v>0</v>
      </c>
    </row>
    <row r="166" spans="21:37">
      <c r="U166" s="4" t="e">
        <f>IF(AND($AB166=1,Processed_Data!C166="J."),Processed_Data!J166,NA())</f>
        <v>#N/A</v>
      </c>
      <c r="V166" s="8" t="e">
        <f>IF(AND($AB166=1,Processed_Data!C166="J."),Processed_Data!L166/100,NA())</f>
        <v>#N/A</v>
      </c>
      <c r="W166" s="4">
        <f>IF(AND($AB166=1,Processed_Data!C166="Maria.B"),Processed_Data!J166,NA())</f>
        <v>20990</v>
      </c>
      <c r="X166" s="8">
        <f>IF(AND($AB166=1,Processed_Data!C166="Maria.B"),Processed_Data!L166/100,NA())</f>
        <v>0</v>
      </c>
      <c r="Y166" s="4" t="e">
        <f>IF(AND($AB166=1,Processed_Data!C166="Sana Safinaz"),Processed_Data!J166,NA())</f>
        <v>#N/A</v>
      </c>
      <c r="Z166" s="8" t="e">
        <f>IF(AND($AB166=1,Processed_Data!C166="Sana Safinaz"),Processed_Data!L166/100,NA())</f>
        <v>#N/A</v>
      </c>
      <c r="AB166">
        <f>--AND(OR($B$2="All",Processed_Data!C166=$B$2),OR($B$3="All",Processed_Data!F166=$B$3),OR($B$4="All",Processed_Data!G166=$B$4),OR($B$5="All",Processed_Data!H166=$B$5),OR($B$6="All",Processed_Data!R166=$B$6),OR($B$7="All",Processed_Data!N166=$B$7))</f>
        <v>1</v>
      </c>
      <c r="AC166">
        <f>IF($AB166=1,Processed_Data!J166,"")</f>
        <v>20990</v>
      </c>
      <c r="AD166">
        <f>IF($AB166=1,Processed_Data!L166,0)</f>
        <v>0</v>
      </c>
      <c r="AE166">
        <f>IF($AB166=1,--(Processed_Data!M166="On Sale"),0)</f>
        <v>0</v>
      </c>
      <c r="AF166" t="str">
        <f>IF(AND($AB166=1,Processed_Data!C166="J."),Processed_Data!J166,"")</f>
        <v/>
      </c>
      <c r="AG166">
        <f>IF(AND($AB166=1,Processed_Data!C166="Maria.B"),Processed_Data!J166,"")</f>
        <v>20990</v>
      </c>
      <c r="AH166" t="str">
        <f>IF(AND($AB166=1,Processed_Data!C166="Sana Safinaz"),Processed_Data!J166,"")</f>
        <v/>
      </c>
      <c r="AI166">
        <f>IF(AND($AB166=1,Processed_Data!C166="J."),Processed_Data!L166,0)</f>
        <v>0</v>
      </c>
      <c r="AJ166">
        <f>IF(AND($AB166=1,Processed_Data!C166="Maria.B"),Processed_Data!L166,0)</f>
        <v>0</v>
      </c>
      <c r="AK166">
        <f>IF(AND($AB166=1,Processed_Data!C166="Sana Safinaz"),Processed_Data!L166,0)</f>
        <v>0</v>
      </c>
    </row>
    <row r="167" spans="21:37">
      <c r="U167" s="4" t="e">
        <f>IF(AND($AB167=1,Processed_Data!C167="J."),Processed_Data!J167,NA())</f>
        <v>#N/A</v>
      </c>
      <c r="V167" s="8" t="e">
        <f>IF(AND($AB167=1,Processed_Data!C167="J."),Processed_Data!L167/100,NA())</f>
        <v>#N/A</v>
      </c>
      <c r="W167" s="4">
        <f>IF(AND($AB167=1,Processed_Data!C167="Maria.B"),Processed_Data!J167,NA())</f>
        <v>8490</v>
      </c>
      <c r="X167" s="8">
        <f>IF(AND($AB167=1,Processed_Data!C167="Maria.B"),Processed_Data!L167/100,NA())</f>
        <v>0</v>
      </c>
      <c r="Y167" s="4" t="e">
        <f>IF(AND($AB167=1,Processed_Data!C167="Sana Safinaz"),Processed_Data!J167,NA())</f>
        <v>#N/A</v>
      </c>
      <c r="Z167" s="8" t="e">
        <f>IF(AND($AB167=1,Processed_Data!C167="Sana Safinaz"),Processed_Data!L167/100,NA())</f>
        <v>#N/A</v>
      </c>
      <c r="AB167">
        <f>--AND(OR($B$2="All",Processed_Data!C167=$B$2),OR($B$3="All",Processed_Data!F167=$B$3),OR($B$4="All",Processed_Data!G167=$B$4),OR($B$5="All",Processed_Data!H167=$B$5),OR($B$6="All",Processed_Data!R167=$B$6),OR($B$7="All",Processed_Data!N167=$B$7))</f>
        <v>1</v>
      </c>
      <c r="AC167">
        <f>IF($AB167=1,Processed_Data!J167,"")</f>
        <v>8490</v>
      </c>
      <c r="AD167">
        <f>IF($AB167=1,Processed_Data!L167,0)</f>
        <v>0</v>
      </c>
      <c r="AE167">
        <f>IF($AB167=1,--(Processed_Data!M167="On Sale"),0)</f>
        <v>0</v>
      </c>
      <c r="AF167" t="str">
        <f>IF(AND($AB167=1,Processed_Data!C167="J."),Processed_Data!J167,"")</f>
        <v/>
      </c>
      <c r="AG167">
        <f>IF(AND($AB167=1,Processed_Data!C167="Maria.B"),Processed_Data!J167,"")</f>
        <v>8490</v>
      </c>
      <c r="AH167" t="str">
        <f>IF(AND($AB167=1,Processed_Data!C167="Sana Safinaz"),Processed_Data!J167,"")</f>
        <v/>
      </c>
      <c r="AI167">
        <f>IF(AND($AB167=1,Processed_Data!C167="J."),Processed_Data!L167,0)</f>
        <v>0</v>
      </c>
      <c r="AJ167">
        <f>IF(AND($AB167=1,Processed_Data!C167="Maria.B"),Processed_Data!L167,0)</f>
        <v>0</v>
      </c>
      <c r="AK167">
        <f>IF(AND($AB167=1,Processed_Data!C167="Sana Safinaz"),Processed_Data!L167,0)</f>
        <v>0</v>
      </c>
    </row>
    <row r="168" spans="21:37">
      <c r="U168" s="4" t="e">
        <f>IF(AND($AB168=1,Processed_Data!C168="J."),Processed_Data!J168,NA())</f>
        <v>#N/A</v>
      </c>
      <c r="V168" s="8" t="e">
        <f>IF(AND($AB168=1,Processed_Data!C168="J."),Processed_Data!L168/100,NA())</f>
        <v>#N/A</v>
      </c>
      <c r="W168" s="4">
        <f>IF(AND($AB168=1,Processed_Data!C168="Maria.B"),Processed_Data!J168,NA())</f>
        <v>8490</v>
      </c>
      <c r="X168" s="8">
        <f>IF(AND($AB168=1,Processed_Data!C168="Maria.B"),Processed_Data!L168/100,NA())</f>
        <v>0</v>
      </c>
      <c r="Y168" s="4" t="e">
        <f>IF(AND($AB168=1,Processed_Data!C168="Sana Safinaz"),Processed_Data!J168,NA())</f>
        <v>#N/A</v>
      </c>
      <c r="Z168" s="8" t="e">
        <f>IF(AND($AB168=1,Processed_Data!C168="Sana Safinaz"),Processed_Data!L168/100,NA())</f>
        <v>#N/A</v>
      </c>
      <c r="AB168">
        <f>--AND(OR($B$2="All",Processed_Data!C168=$B$2),OR($B$3="All",Processed_Data!F168=$B$3),OR($B$4="All",Processed_Data!G168=$B$4),OR($B$5="All",Processed_Data!H168=$B$5),OR($B$6="All",Processed_Data!R168=$B$6),OR($B$7="All",Processed_Data!N168=$B$7))</f>
        <v>1</v>
      </c>
      <c r="AC168">
        <f>IF($AB168=1,Processed_Data!J168,"")</f>
        <v>8490</v>
      </c>
      <c r="AD168">
        <f>IF($AB168=1,Processed_Data!L168,0)</f>
        <v>0</v>
      </c>
      <c r="AE168">
        <f>IF($AB168=1,--(Processed_Data!M168="On Sale"),0)</f>
        <v>0</v>
      </c>
      <c r="AF168" t="str">
        <f>IF(AND($AB168=1,Processed_Data!C168="J."),Processed_Data!J168,"")</f>
        <v/>
      </c>
      <c r="AG168">
        <f>IF(AND($AB168=1,Processed_Data!C168="Maria.B"),Processed_Data!J168,"")</f>
        <v>8490</v>
      </c>
      <c r="AH168" t="str">
        <f>IF(AND($AB168=1,Processed_Data!C168="Sana Safinaz"),Processed_Data!J168,"")</f>
        <v/>
      </c>
      <c r="AI168">
        <f>IF(AND($AB168=1,Processed_Data!C168="J."),Processed_Data!L168,0)</f>
        <v>0</v>
      </c>
      <c r="AJ168">
        <f>IF(AND($AB168=1,Processed_Data!C168="Maria.B"),Processed_Data!L168,0)</f>
        <v>0</v>
      </c>
      <c r="AK168">
        <f>IF(AND($AB168=1,Processed_Data!C168="Sana Safinaz"),Processed_Data!L168,0)</f>
        <v>0</v>
      </c>
    </row>
    <row r="169" spans="21:37">
      <c r="U169" s="4" t="e">
        <f>IF(AND($AB169=1,Processed_Data!C169="J."),Processed_Data!J169,NA())</f>
        <v>#N/A</v>
      </c>
      <c r="V169" s="8" t="e">
        <f>IF(AND($AB169=1,Processed_Data!C169="J."),Processed_Data!L169/100,NA())</f>
        <v>#N/A</v>
      </c>
      <c r="W169" s="4">
        <f>IF(AND($AB169=1,Processed_Data!C169="Maria.B"),Processed_Data!J169,NA())</f>
        <v>9490</v>
      </c>
      <c r="X169" s="8">
        <f>IF(AND($AB169=1,Processed_Data!C169="Maria.B"),Processed_Data!L169/100,NA())</f>
        <v>0</v>
      </c>
      <c r="Y169" s="4" t="e">
        <f>IF(AND($AB169=1,Processed_Data!C169="Sana Safinaz"),Processed_Data!J169,NA())</f>
        <v>#N/A</v>
      </c>
      <c r="Z169" s="8" t="e">
        <f>IF(AND($AB169=1,Processed_Data!C169="Sana Safinaz"),Processed_Data!L169/100,NA())</f>
        <v>#N/A</v>
      </c>
      <c r="AB169">
        <f>--AND(OR($B$2="All",Processed_Data!C169=$B$2),OR($B$3="All",Processed_Data!F169=$B$3),OR($B$4="All",Processed_Data!G169=$B$4),OR($B$5="All",Processed_Data!H169=$B$5),OR($B$6="All",Processed_Data!R169=$B$6),OR($B$7="All",Processed_Data!N169=$B$7))</f>
        <v>1</v>
      </c>
      <c r="AC169">
        <f>IF($AB169=1,Processed_Data!J169,"")</f>
        <v>9490</v>
      </c>
      <c r="AD169">
        <f>IF($AB169=1,Processed_Data!L169,0)</f>
        <v>0</v>
      </c>
      <c r="AE169">
        <f>IF($AB169=1,--(Processed_Data!M169="On Sale"),0)</f>
        <v>0</v>
      </c>
      <c r="AF169" t="str">
        <f>IF(AND($AB169=1,Processed_Data!C169="J."),Processed_Data!J169,"")</f>
        <v/>
      </c>
      <c r="AG169">
        <f>IF(AND($AB169=1,Processed_Data!C169="Maria.B"),Processed_Data!J169,"")</f>
        <v>9490</v>
      </c>
      <c r="AH169" t="str">
        <f>IF(AND($AB169=1,Processed_Data!C169="Sana Safinaz"),Processed_Data!J169,"")</f>
        <v/>
      </c>
      <c r="AI169">
        <f>IF(AND($AB169=1,Processed_Data!C169="J."),Processed_Data!L169,0)</f>
        <v>0</v>
      </c>
      <c r="AJ169">
        <f>IF(AND($AB169=1,Processed_Data!C169="Maria.B"),Processed_Data!L169,0)</f>
        <v>0</v>
      </c>
      <c r="AK169">
        <f>IF(AND($AB169=1,Processed_Data!C169="Sana Safinaz"),Processed_Data!L169,0)</f>
        <v>0</v>
      </c>
    </row>
    <row r="170" spans="21:37">
      <c r="U170" s="4" t="e">
        <f>IF(AND($AB170=1,Processed_Data!C170="J."),Processed_Data!J170,NA())</f>
        <v>#N/A</v>
      </c>
      <c r="V170" s="8" t="e">
        <f>IF(AND($AB170=1,Processed_Data!C170="J."),Processed_Data!L170/100,NA())</f>
        <v>#N/A</v>
      </c>
      <c r="W170" s="4">
        <f>IF(AND($AB170=1,Processed_Data!C170="Maria.B"),Processed_Data!J170,NA())</f>
        <v>9490</v>
      </c>
      <c r="X170" s="8">
        <f>IF(AND($AB170=1,Processed_Data!C170="Maria.B"),Processed_Data!L170/100,NA())</f>
        <v>0</v>
      </c>
      <c r="Y170" s="4" t="e">
        <f>IF(AND($AB170=1,Processed_Data!C170="Sana Safinaz"),Processed_Data!J170,NA())</f>
        <v>#N/A</v>
      </c>
      <c r="Z170" s="8" t="e">
        <f>IF(AND($AB170=1,Processed_Data!C170="Sana Safinaz"),Processed_Data!L170/100,NA())</f>
        <v>#N/A</v>
      </c>
      <c r="AB170">
        <f>--AND(OR($B$2="All",Processed_Data!C170=$B$2),OR($B$3="All",Processed_Data!F170=$B$3),OR($B$4="All",Processed_Data!G170=$B$4),OR($B$5="All",Processed_Data!H170=$B$5),OR($B$6="All",Processed_Data!R170=$B$6),OR($B$7="All",Processed_Data!N170=$B$7))</f>
        <v>1</v>
      </c>
      <c r="AC170">
        <f>IF($AB170=1,Processed_Data!J170,"")</f>
        <v>9490</v>
      </c>
      <c r="AD170">
        <f>IF($AB170=1,Processed_Data!L170,0)</f>
        <v>0</v>
      </c>
      <c r="AE170">
        <f>IF($AB170=1,--(Processed_Data!M170="On Sale"),0)</f>
        <v>0</v>
      </c>
      <c r="AF170" t="str">
        <f>IF(AND($AB170=1,Processed_Data!C170="J."),Processed_Data!J170,"")</f>
        <v/>
      </c>
      <c r="AG170">
        <f>IF(AND($AB170=1,Processed_Data!C170="Maria.B"),Processed_Data!J170,"")</f>
        <v>9490</v>
      </c>
      <c r="AH170" t="str">
        <f>IF(AND($AB170=1,Processed_Data!C170="Sana Safinaz"),Processed_Data!J170,"")</f>
        <v/>
      </c>
      <c r="AI170">
        <f>IF(AND($AB170=1,Processed_Data!C170="J."),Processed_Data!L170,0)</f>
        <v>0</v>
      </c>
      <c r="AJ170">
        <f>IF(AND($AB170=1,Processed_Data!C170="Maria.B"),Processed_Data!L170,0)</f>
        <v>0</v>
      </c>
      <c r="AK170">
        <f>IF(AND($AB170=1,Processed_Data!C170="Sana Safinaz"),Processed_Data!L170,0)</f>
        <v>0</v>
      </c>
    </row>
    <row r="171" spans="21:37">
      <c r="U171" s="4" t="e">
        <f>IF(AND($AB171=1,Processed_Data!C171="J."),Processed_Data!J171,NA())</f>
        <v>#N/A</v>
      </c>
      <c r="V171" s="8" t="e">
        <f>IF(AND($AB171=1,Processed_Data!C171="J."),Processed_Data!L171/100,NA())</f>
        <v>#N/A</v>
      </c>
      <c r="W171" s="4">
        <f>IF(AND($AB171=1,Processed_Data!C171="Maria.B"),Processed_Data!J171,NA())</f>
        <v>9490</v>
      </c>
      <c r="X171" s="8">
        <f>IF(AND($AB171=1,Processed_Data!C171="Maria.B"),Processed_Data!L171/100,NA())</f>
        <v>0</v>
      </c>
      <c r="Y171" s="4" t="e">
        <f>IF(AND($AB171=1,Processed_Data!C171="Sana Safinaz"),Processed_Data!J171,NA())</f>
        <v>#N/A</v>
      </c>
      <c r="Z171" s="8" t="e">
        <f>IF(AND($AB171=1,Processed_Data!C171="Sana Safinaz"),Processed_Data!L171/100,NA())</f>
        <v>#N/A</v>
      </c>
      <c r="AB171">
        <f>--AND(OR($B$2="All",Processed_Data!C171=$B$2),OR($B$3="All",Processed_Data!F171=$B$3),OR($B$4="All",Processed_Data!G171=$B$4),OR($B$5="All",Processed_Data!H171=$B$5),OR($B$6="All",Processed_Data!R171=$B$6),OR($B$7="All",Processed_Data!N171=$B$7))</f>
        <v>1</v>
      </c>
      <c r="AC171">
        <f>IF($AB171=1,Processed_Data!J171,"")</f>
        <v>9490</v>
      </c>
      <c r="AD171">
        <f>IF($AB171=1,Processed_Data!L171,0)</f>
        <v>0</v>
      </c>
      <c r="AE171">
        <f>IF($AB171=1,--(Processed_Data!M171="On Sale"),0)</f>
        <v>0</v>
      </c>
      <c r="AF171" t="str">
        <f>IF(AND($AB171=1,Processed_Data!C171="J."),Processed_Data!J171,"")</f>
        <v/>
      </c>
      <c r="AG171">
        <f>IF(AND($AB171=1,Processed_Data!C171="Maria.B"),Processed_Data!J171,"")</f>
        <v>9490</v>
      </c>
      <c r="AH171" t="str">
        <f>IF(AND($AB171=1,Processed_Data!C171="Sana Safinaz"),Processed_Data!J171,"")</f>
        <v/>
      </c>
      <c r="AI171">
        <f>IF(AND($AB171=1,Processed_Data!C171="J."),Processed_Data!L171,0)</f>
        <v>0</v>
      </c>
      <c r="AJ171">
        <f>IF(AND($AB171=1,Processed_Data!C171="Maria.B"),Processed_Data!L171,0)</f>
        <v>0</v>
      </c>
      <c r="AK171">
        <f>IF(AND($AB171=1,Processed_Data!C171="Sana Safinaz"),Processed_Data!L171,0)</f>
        <v>0</v>
      </c>
    </row>
    <row r="172" spans="21:37">
      <c r="U172" s="4" t="e">
        <f>IF(AND($AB172=1,Processed_Data!C172="J."),Processed_Data!J172,NA())</f>
        <v>#N/A</v>
      </c>
      <c r="V172" s="8" t="e">
        <f>IF(AND($AB172=1,Processed_Data!C172="J."),Processed_Data!L172/100,NA())</f>
        <v>#N/A</v>
      </c>
      <c r="W172" s="4">
        <f>IF(AND($AB172=1,Processed_Data!C172="Maria.B"),Processed_Data!J172,NA())</f>
        <v>9490</v>
      </c>
      <c r="X172" s="8">
        <f>IF(AND($AB172=1,Processed_Data!C172="Maria.B"),Processed_Data!L172/100,NA())</f>
        <v>0</v>
      </c>
      <c r="Y172" s="4" t="e">
        <f>IF(AND($AB172=1,Processed_Data!C172="Sana Safinaz"),Processed_Data!J172,NA())</f>
        <v>#N/A</v>
      </c>
      <c r="Z172" s="8" t="e">
        <f>IF(AND($AB172=1,Processed_Data!C172="Sana Safinaz"),Processed_Data!L172/100,NA())</f>
        <v>#N/A</v>
      </c>
      <c r="AB172">
        <f>--AND(OR($B$2="All",Processed_Data!C172=$B$2),OR($B$3="All",Processed_Data!F172=$B$3),OR($B$4="All",Processed_Data!G172=$B$4),OR($B$5="All",Processed_Data!H172=$B$5),OR($B$6="All",Processed_Data!R172=$B$6),OR($B$7="All",Processed_Data!N172=$B$7))</f>
        <v>1</v>
      </c>
      <c r="AC172">
        <f>IF($AB172=1,Processed_Data!J172,"")</f>
        <v>9490</v>
      </c>
      <c r="AD172">
        <f>IF($AB172=1,Processed_Data!L172,0)</f>
        <v>0</v>
      </c>
      <c r="AE172">
        <f>IF($AB172=1,--(Processed_Data!M172="On Sale"),0)</f>
        <v>0</v>
      </c>
      <c r="AF172" t="str">
        <f>IF(AND($AB172=1,Processed_Data!C172="J."),Processed_Data!J172,"")</f>
        <v/>
      </c>
      <c r="AG172">
        <f>IF(AND($AB172=1,Processed_Data!C172="Maria.B"),Processed_Data!J172,"")</f>
        <v>9490</v>
      </c>
      <c r="AH172" t="str">
        <f>IF(AND($AB172=1,Processed_Data!C172="Sana Safinaz"),Processed_Data!J172,"")</f>
        <v/>
      </c>
      <c r="AI172">
        <f>IF(AND($AB172=1,Processed_Data!C172="J."),Processed_Data!L172,0)</f>
        <v>0</v>
      </c>
      <c r="AJ172">
        <f>IF(AND($AB172=1,Processed_Data!C172="Maria.B"),Processed_Data!L172,0)</f>
        <v>0</v>
      </c>
      <c r="AK172">
        <f>IF(AND($AB172=1,Processed_Data!C172="Sana Safinaz"),Processed_Data!L172,0)</f>
        <v>0</v>
      </c>
    </row>
    <row r="173" spans="21:37">
      <c r="U173" s="4" t="e">
        <f>IF(AND($AB173=1,Processed_Data!C173="J."),Processed_Data!J173,NA())</f>
        <v>#N/A</v>
      </c>
      <c r="V173" s="8" t="e">
        <f>IF(AND($AB173=1,Processed_Data!C173="J."),Processed_Data!L173/100,NA())</f>
        <v>#N/A</v>
      </c>
      <c r="W173" s="4">
        <f>IF(AND($AB173=1,Processed_Data!C173="Maria.B"),Processed_Data!J173,NA())</f>
        <v>28490</v>
      </c>
      <c r="X173" s="8">
        <f>IF(AND($AB173=1,Processed_Data!C173="Maria.B"),Processed_Data!L173/100,NA())</f>
        <v>0</v>
      </c>
      <c r="Y173" s="4" t="e">
        <f>IF(AND($AB173=1,Processed_Data!C173="Sana Safinaz"),Processed_Data!J173,NA())</f>
        <v>#N/A</v>
      </c>
      <c r="Z173" s="8" t="e">
        <f>IF(AND($AB173=1,Processed_Data!C173="Sana Safinaz"),Processed_Data!L173/100,NA())</f>
        <v>#N/A</v>
      </c>
      <c r="AB173">
        <f>--AND(OR($B$2="All",Processed_Data!C173=$B$2),OR($B$3="All",Processed_Data!F173=$B$3),OR($B$4="All",Processed_Data!G173=$B$4),OR($B$5="All",Processed_Data!H173=$B$5),OR($B$6="All",Processed_Data!R173=$B$6),OR($B$7="All",Processed_Data!N173=$B$7))</f>
        <v>1</v>
      </c>
      <c r="AC173">
        <f>IF($AB173=1,Processed_Data!J173,"")</f>
        <v>28490</v>
      </c>
      <c r="AD173">
        <f>IF($AB173=1,Processed_Data!L173,0)</f>
        <v>0</v>
      </c>
      <c r="AE173">
        <f>IF($AB173=1,--(Processed_Data!M173="On Sale"),0)</f>
        <v>0</v>
      </c>
      <c r="AF173" t="str">
        <f>IF(AND($AB173=1,Processed_Data!C173="J."),Processed_Data!J173,"")</f>
        <v/>
      </c>
      <c r="AG173">
        <f>IF(AND($AB173=1,Processed_Data!C173="Maria.B"),Processed_Data!J173,"")</f>
        <v>28490</v>
      </c>
      <c r="AH173" t="str">
        <f>IF(AND($AB173=1,Processed_Data!C173="Sana Safinaz"),Processed_Data!J173,"")</f>
        <v/>
      </c>
      <c r="AI173">
        <f>IF(AND($AB173=1,Processed_Data!C173="J."),Processed_Data!L173,0)</f>
        <v>0</v>
      </c>
      <c r="AJ173">
        <f>IF(AND($AB173=1,Processed_Data!C173="Maria.B"),Processed_Data!L173,0)</f>
        <v>0</v>
      </c>
      <c r="AK173">
        <f>IF(AND($AB173=1,Processed_Data!C173="Sana Safinaz"),Processed_Data!L173,0)</f>
        <v>0</v>
      </c>
    </row>
    <row r="174" spans="21:37">
      <c r="U174" s="4" t="e">
        <f>IF(AND($AB174=1,Processed_Data!C174="J."),Processed_Data!J174,NA())</f>
        <v>#N/A</v>
      </c>
      <c r="V174" s="8" t="e">
        <f>IF(AND($AB174=1,Processed_Data!C174="J."),Processed_Data!L174/100,NA())</f>
        <v>#N/A</v>
      </c>
      <c r="W174" s="4">
        <f>IF(AND($AB174=1,Processed_Data!C174="Maria.B"),Processed_Data!J174,NA())</f>
        <v>21990</v>
      </c>
      <c r="X174" s="8">
        <f>IF(AND($AB174=1,Processed_Data!C174="Maria.B"),Processed_Data!L174/100,NA())</f>
        <v>0</v>
      </c>
      <c r="Y174" s="4" t="e">
        <f>IF(AND($AB174=1,Processed_Data!C174="Sana Safinaz"),Processed_Data!J174,NA())</f>
        <v>#N/A</v>
      </c>
      <c r="Z174" s="8" t="e">
        <f>IF(AND($AB174=1,Processed_Data!C174="Sana Safinaz"),Processed_Data!L174/100,NA())</f>
        <v>#N/A</v>
      </c>
      <c r="AB174">
        <f>--AND(OR($B$2="All",Processed_Data!C174=$B$2),OR($B$3="All",Processed_Data!F174=$B$3),OR($B$4="All",Processed_Data!G174=$B$4),OR($B$5="All",Processed_Data!H174=$B$5),OR($B$6="All",Processed_Data!R174=$B$6),OR($B$7="All",Processed_Data!N174=$B$7))</f>
        <v>1</v>
      </c>
      <c r="AC174">
        <f>IF($AB174=1,Processed_Data!J174,"")</f>
        <v>21990</v>
      </c>
      <c r="AD174">
        <f>IF($AB174=1,Processed_Data!L174,0)</f>
        <v>0</v>
      </c>
      <c r="AE174">
        <f>IF($AB174=1,--(Processed_Data!M174="On Sale"),0)</f>
        <v>0</v>
      </c>
      <c r="AF174" t="str">
        <f>IF(AND($AB174=1,Processed_Data!C174="J."),Processed_Data!J174,"")</f>
        <v/>
      </c>
      <c r="AG174">
        <f>IF(AND($AB174=1,Processed_Data!C174="Maria.B"),Processed_Data!J174,"")</f>
        <v>21990</v>
      </c>
      <c r="AH174" t="str">
        <f>IF(AND($AB174=1,Processed_Data!C174="Sana Safinaz"),Processed_Data!J174,"")</f>
        <v/>
      </c>
      <c r="AI174">
        <f>IF(AND($AB174=1,Processed_Data!C174="J."),Processed_Data!L174,0)</f>
        <v>0</v>
      </c>
      <c r="AJ174">
        <f>IF(AND($AB174=1,Processed_Data!C174="Maria.B"),Processed_Data!L174,0)</f>
        <v>0</v>
      </c>
      <c r="AK174">
        <f>IF(AND($AB174=1,Processed_Data!C174="Sana Safinaz"),Processed_Data!L174,0)</f>
        <v>0</v>
      </c>
    </row>
    <row r="175" spans="21:37">
      <c r="U175" s="4" t="e">
        <f>IF(AND($AB175=1,Processed_Data!C175="J."),Processed_Data!J175,NA())</f>
        <v>#N/A</v>
      </c>
      <c r="V175" s="8" t="e">
        <f>IF(AND($AB175=1,Processed_Data!C175="J."),Processed_Data!L175/100,NA())</f>
        <v>#N/A</v>
      </c>
      <c r="W175" s="4">
        <f>IF(AND($AB175=1,Processed_Data!C175="Maria.B"),Processed_Data!J175,NA())</f>
        <v>24990</v>
      </c>
      <c r="X175" s="8">
        <f>IF(AND($AB175=1,Processed_Data!C175="Maria.B"),Processed_Data!L175/100,NA())</f>
        <v>0</v>
      </c>
      <c r="Y175" s="4" t="e">
        <f>IF(AND($AB175=1,Processed_Data!C175="Sana Safinaz"),Processed_Data!J175,NA())</f>
        <v>#N/A</v>
      </c>
      <c r="Z175" s="8" t="e">
        <f>IF(AND($AB175=1,Processed_Data!C175="Sana Safinaz"),Processed_Data!L175/100,NA())</f>
        <v>#N/A</v>
      </c>
      <c r="AB175">
        <f>--AND(OR($B$2="All",Processed_Data!C175=$B$2),OR($B$3="All",Processed_Data!F175=$B$3),OR($B$4="All",Processed_Data!G175=$B$4),OR($B$5="All",Processed_Data!H175=$B$5),OR($B$6="All",Processed_Data!R175=$B$6),OR($B$7="All",Processed_Data!N175=$B$7))</f>
        <v>1</v>
      </c>
      <c r="AC175">
        <f>IF($AB175=1,Processed_Data!J175,"")</f>
        <v>24990</v>
      </c>
      <c r="AD175">
        <f>IF($AB175=1,Processed_Data!L175,0)</f>
        <v>0</v>
      </c>
      <c r="AE175">
        <f>IF($AB175=1,--(Processed_Data!M175="On Sale"),0)</f>
        <v>0</v>
      </c>
      <c r="AF175" t="str">
        <f>IF(AND($AB175=1,Processed_Data!C175="J."),Processed_Data!J175,"")</f>
        <v/>
      </c>
      <c r="AG175">
        <f>IF(AND($AB175=1,Processed_Data!C175="Maria.B"),Processed_Data!J175,"")</f>
        <v>24990</v>
      </c>
      <c r="AH175" t="str">
        <f>IF(AND($AB175=1,Processed_Data!C175="Sana Safinaz"),Processed_Data!J175,"")</f>
        <v/>
      </c>
      <c r="AI175">
        <f>IF(AND($AB175=1,Processed_Data!C175="J."),Processed_Data!L175,0)</f>
        <v>0</v>
      </c>
      <c r="AJ175">
        <f>IF(AND($AB175=1,Processed_Data!C175="Maria.B"),Processed_Data!L175,0)</f>
        <v>0</v>
      </c>
      <c r="AK175">
        <f>IF(AND($AB175=1,Processed_Data!C175="Sana Safinaz"),Processed_Data!L175,0)</f>
        <v>0</v>
      </c>
    </row>
    <row r="176" spans="21:37">
      <c r="U176" s="4" t="e">
        <f>IF(AND($AB176=1,Processed_Data!C176="J."),Processed_Data!J176,NA())</f>
        <v>#N/A</v>
      </c>
      <c r="V176" s="8" t="e">
        <f>IF(AND($AB176=1,Processed_Data!C176="J."),Processed_Data!L176/100,NA())</f>
        <v>#N/A</v>
      </c>
      <c r="W176" s="4">
        <f>IF(AND($AB176=1,Processed_Data!C176="Maria.B"),Processed_Data!J176,NA())</f>
        <v>26990</v>
      </c>
      <c r="X176" s="8">
        <f>IF(AND($AB176=1,Processed_Data!C176="Maria.B"),Processed_Data!L176/100,NA())</f>
        <v>0</v>
      </c>
      <c r="Y176" s="4" t="e">
        <f>IF(AND($AB176=1,Processed_Data!C176="Sana Safinaz"),Processed_Data!J176,NA())</f>
        <v>#N/A</v>
      </c>
      <c r="Z176" s="8" t="e">
        <f>IF(AND($AB176=1,Processed_Data!C176="Sana Safinaz"),Processed_Data!L176/100,NA())</f>
        <v>#N/A</v>
      </c>
      <c r="AB176">
        <f>--AND(OR($B$2="All",Processed_Data!C176=$B$2),OR($B$3="All",Processed_Data!F176=$B$3),OR($B$4="All",Processed_Data!G176=$B$4),OR($B$5="All",Processed_Data!H176=$B$5),OR($B$6="All",Processed_Data!R176=$B$6),OR($B$7="All",Processed_Data!N176=$B$7))</f>
        <v>1</v>
      </c>
      <c r="AC176">
        <f>IF($AB176=1,Processed_Data!J176,"")</f>
        <v>26990</v>
      </c>
      <c r="AD176">
        <f>IF($AB176=1,Processed_Data!L176,0)</f>
        <v>0</v>
      </c>
      <c r="AE176">
        <f>IF($AB176=1,--(Processed_Data!M176="On Sale"),0)</f>
        <v>0</v>
      </c>
      <c r="AF176" t="str">
        <f>IF(AND($AB176=1,Processed_Data!C176="J."),Processed_Data!J176,"")</f>
        <v/>
      </c>
      <c r="AG176">
        <f>IF(AND($AB176=1,Processed_Data!C176="Maria.B"),Processed_Data!J176,"")</f>
        <v>26990</v>
      </c>
      <c r="AH176" t="str">
        <f>IF(AND($AB176=1,Processed_Data!C176="Sana Safinaz"),Processed_Data!J176,"")</f>
        <v/>
      </c>
      <c r="AI176">
        <f>IF(AND($AB176=1,Processed_Data!C176="J."),Processed_Data!L176,0)</f>
        <v>0</v>
      </c>
      <c r="AJ176">
        <f>IF(AND($AB176=1,Processed_Data!C176="Maria.B"),Processed_Data!L176,0)</f>
        <v>0</v>
      </c>
      <c r="AK176">
        <f>IF(AND($AB176=1,Processed_Data!C176="Sana Safinaz"),Processed_Data!L176,0)</f>
        <v>0</v>
      </c>
    </row>
    <row r="177" spans="21:37">
      <c r="U177" s="4" t="e">
        <f>IF(AND($AB177=1,Processed_Data!C177="J."),Processed_Data!J177,NA())</f>
        <v>#N/A</v>
      </c>
      <c r="V177" s="8" t="e">
        <f>IF(AND($AB177=1,Processed_Data!C177="J."),Processed_Data!L177/100,NA())</f>
        <v>#N/A</v>
      </c>
      <c r="W177" s="4">
        <f>IF(AND($AB177=1,Processed_Data!C177="Maria.B"),Processed_Data!J177,NA())</f>
        <v>45990</v>
      </c>
      <c r="X177" s="8">
        <f>IF(AND($AB177=1,Processed_Data!C177="Maria.B"),Processed_Data!L177/100,NA())</f>
        <v>0</v>
      </c>
      <c r="Y177" s="4" t="e">
        <f>IF(AND($AB177=1,Processed_Data!C177="Sana Safinaz"),Processed_Data!J177,NA())</f>
        <v>#N/A</v>
      </c>
      <c r="Z177" s="8" t="e">
        <f>IF(AND($AB177=1,Processed_Data!C177="Sana Safinaz"),Processed_Data!L177/100,NA())</f>
        <v>#N/A</v>
      </c>
      <c r="AB177">
        <f>--AND(OR($B$2="All",Processed_Data!C177=$B$2),OR($B$3="All",Processed_Data!F177=$B$3),OR($B$4="All",Processed_Data!G177=$B$4),OR($B$5="All",Processed_Data!H177=$B$5),OR($B$6="All",Processed_Data!R177=$B$6),OR($B$7="All",Processed_Data!N177=$B$7))</f>
        <v>1</v>
      </c>
      <c r="AC177">
        <f>IF($AB177=1,Processed_Data!J177,"")</f>
        <v>45990</v>
      </c>
      <c r="AD177">
        <f>IF($AB177=1,Processed_Data!L177,0)</f>
        <v>0</v>
      </c>
      <c r="AE177">
        <f>IF($AB177=1,--(Processed_Data!M177="On Sale"),0)</f>
        <v>0</v>
      </c>
      <c r="AF177" t="str">
        <f>IF(AND($AB177=1,Processed_Data!C177="J."),Processed_Data!J177,"")</f>
        <v/>
      </c>
      <c r="AG177">
        <f>IF(AND($AB177=1,Processed_Data!C177="Maria.B"),Processed_Data!J177,"")</f>
        <v>45990</v>
      </c>
      <c r="AH177" t="str">
        <f>IF(AND($AB177=1,Processed_Data!C177="Sana Safinaz"),Processed_Data!J177,"")</f>
        <v/>
      </c>
      <c r="AI177">
        <f>IF(AND($AB177=1,Processed_Data!C177="J."),Processed_Data!L177,0)</f>
        <v>0</v>
      </c>
      <c r="AJ177">
        <f>IF(AND($AB177=1,Processed_Data!C177="Maria.B"),Processed_Data!L177,0)</f>
        <v>0</v>
      </c>
      <c r="AK177">
        <f>IF(AND($AB177=1,Processed_Data!C177="Sana Safinaz"),Processed_Data!L177,0)</f>
        <v>0</v>
      </c>
    </row>
    <row r="178" spans="21:37">
      <c r="U178" s="4" t="e">
        <f>IF(AND($AB178=1,Processed_Data!C178="J."),Processed_Data!J178,NA())</f>
        <v>#N/A</v>
      </c>
      <c r="V178" s="8" t="e">
        <f>IF(AND($AB178=1,Processed_Data!C178="J."),Processed_Data!L178/100,NA())</f>
        <v>#N/A</v>
      </c>
      <c r="W178" s="4">
        <f>IF(AND($AB178=1,Processed_Data!C178="Maria.B"),Processed_Data!J178,NA())</f>
        <v>47990</v>
      </c>
      <c r="X178" s="8">
        <f>IF(AND($AB178=1,Processed_Data!C178="Maria.B"),Processed_Data!L178/100,NA())</f>
        <v>0</v>
      </c>
      <c r="Y178" s="4" t="e">
        <f>IF(AND($AB178=1,Processed_Data!C178="Sana Safinaz"),Processed_Data!J178,NA())</f>
        <v>#N/A</v>
      </c>
      <c r="Z178" s="8" t="e">
        <f>IF(AND($AB178=1,Processed_Data!C178="Sana Safinaz"),Processed_Data!L178/100,NA())</f>
        <v>#N/A</v>
      </c>
      <c r="AB178">
        <f>--AND(OR($B$2="All",Processed_Data!C178=$B$2),OR($B$3="All",Processed_Data!F178=$B$3),OR($B$4="All",Processed_Data!G178=$B$4),OR($B$5="All",Processed_Data!H178=$B$5),OR($B$6="All",Processed_Data!R178=$B$6),OR($B$7="All",Processed_Data!N178=$B$7))</f>
        <v>1</v>
      </c>
      <c r="AC178">
        <f>IF($AB178=1,Processed_Data!J178,"")</f>
        <v>47990</v>
      </c>
      <c r="AD178">
        <f>IF($AB178=1,Processed_Data!L178,0)</f>
        <v>0</v>
      </c>
      <c r="AE178">
        <f>IF($AB178=1,--(Processed_Data!M178="On Sale"),0)</f>
        <v>0</v>
      </c>
      <c r="AF178" t="str">
        <f>IF(AND($AB178=1,Processed_Data!C178="J."),Processed_Data!J178,"")</f>
        <v/>
      </c>
      <c r="AG178">
        <f>IF(AND($AB178=1,Processed_Data!C178="Maria.B"),Processed_Data!J178,"")</f>
        <v>47990</v>
      </c>
      <c r="AH178" t="str">
        <f>IF(AND($AB178=1,Processed_Data!C178="Sana Safinaz"),Processed_Data!J178,"")</f>
        <v/>
      </c>
      <c r="AI178">
        <f>IF(AND($AB178=1,Processed_Data!C178="J."),Processed_Data!L178,0)</f>
        <v>0</v>
      </c>
      <c r="AJ178">
        <f>IF(AND($AB178=1,Processed_Data!C178="Maria.B"),Processed_Data!L178,0)</f>
        <v>0</v>
      </c>
      <c r="AK178">
        <f>IF(AND($AB178=1,Processed_Data!C178="Sana Safinaz"),Processed_Data!L178,0)</f>
        <v>0</v>
      </c>
    </row>
    <row r="179" spans="21:37">
      <c r="U179" s="4" t="e">
        <f>IF(AND($AB179=1,Processed_Data!C179="J."),Processed_Data!J179,NA())</f>
        <v>#N/A</v>
      </c>
      <c r="V179" s="8" t="e">
        <f>IF(AND($AB179=1,Processed_Data!C179="J."),Processed_Data!L179/100,NA())</f>
        <v>#N/A</v>
      </c>
      <c r="W179" s="4">
        <f>IF(AND($AB179=1,Processed_Data!C179="Maria.B"),Processed_Data!J179,NA())</f>
        <v>46990</v>
      </c>
      <c r="X179" s="8">
        <f>IF(AND($AB179=1,Processed_Data!C179="Maria.B"),Processed_Data!L179/100,NA())</f>
        <v>0</v>
      </c>
      <c r="Y179" s="4" t="e">
        <f>IF(AND($AB179=1,Processed_Data!C179="Sana Safinaz"),Processed_Data!J179,NA())</f>
        <v>#N/A</v>
      </c>
      <c r="Z179" s="8" t="e">
        <f>IF(AND($AB179=1,Processed_Data!C179="Sana Safinaz"),Processed_Data!L179/100,NA())</f>
        <v>#N/A</v>
      </c>
      <c r="AB179">
        <f>--AND(OR($B$2="All",Processed_Data!C179=$B$2),OR($B$3="All",Processed_Data!F179=$B$3),OR($B$4="All",Processed_Data!G179=$B$4),OR($B$5="All",Processed_Data!H179=$B$5),OR($B$6="All",Processed_Data!R179=$B$6),OR($B$7="All",Processed_Data!N179=$B$7))</f>
        <v>1</v>
      </c>
      <c r="AC179">
        <f>IF($AB179=1,Processed_Data!J179,"")</f>
        <v>46990</v>
      </c>
      <c r="AD179">
        <f>IF($AB179=1,Processed_Data!L179,0)</f>
        <v>0</v>
      </c>
      <c r="AE179">
        <f>IF($AB179=1,--(Processed_Data!M179="On Sale"),0)</f>
        <v>0</v>
      </c>
      <c r="AF179" t="str">
        <f>IF(AND($AB179=1,Processed_Data!C179="J."),Processed_Data!J179,"")</f>
        <v/>
      </c>
      <c r="AG179">
        <f>IF(AND($AB179=1,Processed_Data!C179="Maria.B"),Processed_Data!J179,"")</f>
        <v>46990</v>
      </c>
      <c r="AH179" t="str">
        <f>IF(AND($AB179=1,Processed_Data!C179="Sana Safinaz"),Processed_Data!J179,"")</f>
        <v/>
      </c>
      <c r="AI179">
        <f>IF(AND($AB179=1,Processed_Data!C179="J."),Processed_Data!L179,0)</f>
        <v>0</v>
      </c>
      <c r="AJ179">
        <f>IF(AND($AB179=1,Processed_Data!C179="Maria.B"),Processed_Data!L179,0)</f>
        <v>0</v>
      </c>
      <c r="AK179">
        <f>IF(AND($AB179=1,Processed_Data!C179="Sana Safinaz"),Processed_Data!L179,0)</f>
        <v>0</v>
      </c>
    </row>
    <row r="180" spans="21:37">
      <c r="U180" s="4" t="e">
        <f>IF(AND($AB180=1,Processed_Data!C180="J."),Processed_Data!J180,NA())</f>
        <v>#N/A</v>
      </c>
      <c r="V180" s="8" t="e">
        <f>IF(AND($AB180=1,Processed_Data!C180="J."),Processed_Data!L180/100,NA())</f>
        <v>#N/A</v>
      </c>
      <c r="W180" s="4">
        <f>IF(AND($AB180=1,Processed_Data!C180="Maria.B"),Processed_Data!J180,NA())</f>
        <v>55990</v>
      </c>
      <c r="X180" s="8">
        <f>IF(AND($AB180=1,Processed_Data!C180="Maria.B"),Processed_Data!L180/100,NA())</f>
        <v>0</v>
      </c>
      <c r="Y180" s="4" t="e">
        <f>IF(AND($AB180=1,Processed_Data!C180="Sana Safinaz"),Processed_Data!J180,NA())</f>
        <v>#N/A</v>
      </c>
      <c r="Z180" s="8" t="e">
        <f>IF(AND($AB180=1,Processed_Data!C180="Sana Safinaz"),Processed_Data!L180/100,NA())</f>
        <v>#N/A</v>
      </c>
      <c r="AB180">
        <f>--AND(OR($B$2="All",Processed_Data!C180=$B$2),OR($B$3="All",Processed_Data!F180=$B$3),OR($B$4="All",Processed_Data!G180=$B$4),OR($B$5="All",Processed_Data!H180=$B$5),OR($B$6="All",Processed_Data!R180=$B$6),OR($B$7="All",Processed_Data!N180=$B$7))</f>
        <v>1</v>
      </c>
      <c r="AC180">
        <f>IF($AB180=1,Processed_Data!J180,"")</f>
        <v>55990</v>
      </c>
      <c r="AD180">
        <f>IF($AB180=1,Processed_Data!L180,0)</f>
        <v>0</v>
      </c>
      <c r="AE180">
        <f>IF($AB180=1,--(Processed_Data!M180="On Sale"),0)</f>
        <v>0</v>
      </c>
      <c r="AF180" t="str">
        <f>IF(AND($AB180=1,Processed_Data!C180="J."),Processed_Data!J180,"")</f>
        <v/>
      </c>
      <c r="AG180">
        <f>IF(AND($AB180=1,Processed_Data!C180="Maria.B"),Processed_Data!J180,"")</f>
        <v>55990</v>
      </c>
      <c r="AH180" t="str">
        <f>IF(AND($AB180=1,Processed_Data!C180="Sana Safinaz"),Processed_Data!J180,"")</f>
        <v/>
      </c>
      <c r="AI180">
        <f>IF(AND($AB180=1,Processed_Data!C180="J."),Processed_Data!L180,0)</f>
        <v>0</v>
      </c>
      <c r="AJ180">
        <f>IF(AND($AB180=1,Processed_Data!C180="Maria.B"),Processed_Data!L180,0)</f>
        <v>0</v>
      </c>
      <c r="AK180">
        <f>IF(AND($AB180=1,Processed_Data!C180="Sana Safinaz"),Processed_Data!L180,0)</f>
        <v>0</v>
      </c>
    </row>
    <row r="181" spans="21:37">
      <c r="U181" s="4" t="e">
        <f>IF(AND($AB181=1,Processed_Data!C181="J."),Processed_Data!J181,NA())</f>
        <v>#N/A</v>
      </c>
      <c r="V181" s="8" t="e">
        <f>IF(AND($AB181=1,Processed_Data!C181="J."),Processed_Data!L181/100,NA())</f>
        <v>#N/A</v>
      </c>
      <c r="W181" s="4">
        <f>IF(AND($AB181=1,Processed_Data!C181="Maria.B"),Processed_Data!J181,NA())</f>
        <v>43990</v>
      </c>
      <c r="X181" s="8">
        <f>IF(AND($AB181=1,Processed_Data!C181="Maria.B"),Processed_Data!L181/100,NA())</f>
        <v>0</v>
      </c>
      <c r="Y181" s="4" t="e">
        <f>IF(AND($AB181=1,Processed_Data!C181="Sana Safinaz"),Processed_Data!J181,NA())</f>
        <v>#N/A</v>
      </c>
      <c r="Z181" s="8" t="e">
        <f>IF(AND($AB181=1,Processed_Data!C181="Sana Safinaz"),Processed_Data!L181/100,NA())</f>
        <v>#N/A</v>
      </c>
      <c r="AB181">
        <f>--AND(OR($B$2="All",Processed_Data!C181=$B$2),OR($B$3="All",Processed_Data!F181=$B$3),OR($B$4="All",Processed_Data!G181=$B$4),OR($B$5="All",Processed_Data!H181=$B$5),OR($B$6="All",Processed_Data!R181=$B$6),OR($B$7="All",Processed_Data!N181=$B$7))</f>
        <v>1</v>
      </c>
      <c r="AC181">
        <f>IF($AB181=1,Processed_Data!J181,"")</f>
        <v>43990</v>
      </c>
      <c r="AD181">
        <f>IF($AB181=1,Processed_Data!L181,0)</f>
        <v>0</v>
      </c>
      <c r="AE181">
        <f>IF($AB181=1,--(Processed_Data!M181="On Sale"),0)</f>
        <v>0</v>
      </c>
      <c r="AF181" t="str">
        <f>IF(AND($AB181=1,Processed_Data!C181="J."),Processed_Data!J181,"")</f>
        <v/>
      </c>
      <c r="AG181">
        <f>IF(AND($AB181=1,Processed_Data!C181="Maria.B"),Processed_Data!J181,"")</f>
        <v>43990</v>
      </c>
      <c r="AH181" t="str">
        <f>IF(AND($AB181=1,Processed_Data!C181="Sana Safinaz"),Processed_Data!J181,"")</f>
        <v/>
      </c>
      <c r="AI181">
        <f>IF(AND($AB181=1,Processed_Data!C181="J."),Processed_Data!L181,0)</f>
        <v>0</v>
      </c>
      <c r="AJ181">
        <f>IF(AND($AB181=1,Processed_Data!C181="Maria.B"),Processed_Data!L181,0)</f>
        <v>0</v>
      </c>
      <c r="AK181">
        <f>IF(AND($AB181=1,Processed_Data!C181="Sana Safinaz"),Processed_Data!L181,0)</f>
        <v>0</v>
      </c>
    </row>
    <row r="182" spans="21:37">
      <c r="U182" s="4" t="e">
        <f>IF(AND($AB182=1,Processed_Data!C182="J."),Processed_Data!J182,NA())</f>
        <v>#N/A</v>
      </c>
      <c r="V182" s="8" t="e">
        <f>IF(AND($AB182=1,Processed_Data!C182="J."),Processed_Data!L182/100,NA())</f>
        <v>#N/A</v>
      </c>
      <c r="W182" s="4">
        <f>IF(AND($AB182=1,Processed_Data!C182="Maria.B"),Processed_Data!J182,NA())</f>
        <v>43990</v>
      </c>
      <c r="X182" s="8">
        <f>IF(AND($AB182=1,Processed_Data!C182="Maria.B"),Processed_Data!L182/100,NA())</f>
        <v>0</v>
      </c>
      <c r="Y182" s="4" t="e">
        <f>IF(AND($AB182=1,Processed_Data!C182="Sana Safinaz"),Processed_Data!J182,NA())</f>
        <v>#N/A</v>
      </c>
      <c r="Z182" s="8" t="e">
        <f>IF(AND($AB182=1,Processed_Data!C182="Sana Safinaz"),Processed_Data!L182/100,NA())</f>
        <v>#N/A</v>
      </c>
      <c r="AB182">
        <f>--AND(OR($B$2="All",Processed_Data!C182=$B$2),OR($B$3="All",Processed_Data!F182=$B$3),OR($B$4="All",Processed_Data!G182=$B$4),OR($B$5="All",Processed_Data!H182=$B$5),OR($B$6="All",Processed_Data!R182=$B$6),OR($B$7="All",Processed_Data!N182=$B$7))</f>
        <v>1</v>
      </c>
      <c r="AC182">
        <f>IF($AB182=1,Processed_Data!J182,"")</f>
        <v>43990</v>
      </c>
      <c r="AD182">
        <f>IF($AB182=1,Processed_Data!L182,0)</f>
        <v>0</v>
      </c>
      <c r="AE182">
        <f>IF($AB182=1,--(Processed_Data!M182="On Sale"),0)</f>
        <v>0</v>
      </c>
      <c r="AF182" t="str">
        <f>IF(AND($AB182=1,Processed_Data!C182="J."),Processed_Data!J182,"")</f>
        <v/>
      </c>
      <c r="AG182">
        <f>IF(AND($AB182=1,Processed_Data!C182="Maria.B"),Processed_Data!J182,"")</f>
        <v>43990</v>
      </c>
      <c r="AH182" t="str">
        <f>IF(AND($AB182=1,Processed_Data!C182="Sana Safinaz"),Processed_Data!J182,"")</f>
        <v/>
      </c>
      <c r="AI182">
        <f>IF(AND($AB182=1,Processed_Data!C182="J."),Processed_Data!L182,0)</f>
        <v>0</v>
      </c>
      <c r="AJ182">
        <f>IF(AND($AB182=1,Processed_Data!C182="Maria.B"),Processed_Data!L182,0)</f>
        <v>0</v>
      </c>
      <c r="AK182">
        <f>IF(AND($AB182=1,Processed_Data!C182="Sana Safinaz"),Processed_Data!L182,0)</f>
        <v>0</v>
      </c>
    </row>
    <row r="183" spans="21:37">
      <c r="U183" s="4" t="e">
        <f>IF(AND($AB183=1,Processed_Data!C183="J."),Processed_Data!J183,NA())</f>
        <v>#N/A</v>
      </c>
      <c r="V183" s="8" t="e">
        <f>IF(AND($AB183=1,Processed_Data!C183="J."),Processed_Data!L183/100,NA())</f>
        <v>#N/A</v>
      </c>
      <c r="W183" s="4">
        <f>IF(AND($AB183=1,Processed_Data!C183="Maria.B"),Processed_Data!J183,NA())</f>
        <v>45990</v>
      </c>
      <c r="X183" s="8">
        <f>IF(AND($AB183=1,Processed_Data!C183="Maria.B"),Processed_Data!L183/100,NA())</f>
        <v>0</v>
      </c>
      <c r="Y183" s="4" t="e">
        <f>IF(AND($AB183=1,Processed_Data!C183="Sana Safinaz"),Processed_Data!J183,NA())</f>
        <v>#N/A</v>
      </c>
      <c r="Z183" s="8" t="e">
        <f>IF(AND($AB183=1,Processed_Data!C183="Sana Safinaz"),Processed_Data!L183/100,NA())</f>
        <v>#N/A</v>
      </c>
      <c r="AB183">
        <f>--AND(OR($B$2="All",Processed_Data!C183=$B$2),OR($B$3="All",Processed_Data!F183=$B$3),OR($B$4="All",Processed_Data!G183=$B$4),OR($B$5="All",Processed_Data!H183=$B$5),OR($B$6="All",Processed_Data!R183=$B$6),OR($B$7="All",Processed_Data!N183=$B$7))</f>
        <v>1</v>
      </c>
      <c r="AC183">
        <f>IF($AB183=1,Processed_Data!J183,"")</f>
        <v>45990</v>
      </c>
      <c r="AD183">
        <f>IF($AB183=1,Processed_Data!L183,0)</f>
        <v>0</v>
      </c>
      <c r="AE183">
        <f>IF($AB183=1,--(Processed_Data!M183="On Sale"),0)</f>
        <v>0</v>
      </c>
      <c r="AF183" t="str">
        <f>IF(AND($AB183=1,Processed_Data!C183="J."),Processed_Data!J183,"")</f>
        <v/>
      </c>
      <c r="AG183">
        <f>IF(AND($AB183=1,Processed_Data!C183="Maria.B"),Processed_Data!J183,"")</f>
        <v>45990</v>
      </c>
      <c r="AH183" t="str">
        <f>IF(AND($AB183=1,Processed_Data!C183="Sana Safinaz"),Processed_Data!J183,"")</f>
        <v/>
      </c>
      <c r="AI183">
        <f>IF(AND($AB183=1,Processed_Data!C183="J."),Processed_Data!L183,0)</f>
        <v>0</v>
      </c>
      <c r="AJ183">
        <f>IF(AND($AB183=1,Processed_Data!C183="Maria.B"),Processed_Data!L183,0)</f>
        <v>0</v>
      </c>
      <c r="AK183">
        <f>IF(AND($AB183=1,Processed_Data!C183="Sana Safinaz"),Processed_Data!L183,0)</f>
        <v>0</v>
      </c>
    </row>
    <row r="184" spans="21:37">
      <c r="U184" s="4" t="e">
        <f>IF(AND($AB184=1,Processed_Data!C184="J."),Processed_Data!J184,NA())</f>
        <v>#N/A</v>
      </c>
      <c r="V184" s="8" t="e">
        <f>IF(AND($AB184=1,Processed_Data!C184="J."),Processed_Data!L184/100,NA())</f>
        <v>#N/A</v>
      </c>
      <c r="W184" s="4">
        <f>IF(AND($AB184=1,Processed_Data!C184="Maria.B"),Processed_Data!J184,NA())</f>
        <v>45990</v>
      </c>
      <c r="X184" s="8">
        <f>IF(AND($AB184=1,Processed_Data!C184="Maria.B"),Processed_Data!L184/100,NA())</f>
        <v>0</v>
      </c>
      <c r="Y184" s="4" t="e">
        <f>IF(AND($AB184=1,Processed_Data!C184="Sana Safinaz"),Processed_Data!J184,NA())</f>
        <v>#N/A</v>
      </c>
      <c r="Z184" s="8" t="e">
        <f>IF(AND($AB184=1,Processed_Data!C184="Sana Safinaz"),Processed_Data!L184/100,NA())</f>
        <v>#N/A</v>
      </c>
      <c r="AB184">
        <f>--AND(OR($B$2="All",Processed_Data!C184=$B$2),OR($B$3="All",Processed_Data!F184=$B$3),OR($B$4="All",Processed_Data!G184=$B$4),OR($B$5="All",Processed_Data!H184=$B$5),OR($B$6="All",Processed_Data!R184=$B$6),OR($B$7="All",Processed_Data!N184=$B$7))</f>
        <v>1</v>
      </c>
      <c r="AC184">
        <f>IF($AB184=1,Processed_Data!J184,"")</f>
        <v>45990</v>
      </c>
      <c r="AD184">
        <f>IF($AB184=1,Processed_Data!L184,0)</f>
        <v>0</v>
      </c>
      <c r="AE184">
        <f>IF($AB184=1,--(Processed_Data!M184="On Sale"),0)</f>
        <v>0</v>
      </c>
      <c r="AF184" t="str">
        <f>IF(AND($AB184=1,Processed_Data!C184="J."),Processed_Data!J184,"")</f>
        <v/>
      </c>
      <c r="AG184">
        <f>IF(AND($AB184=1,Processed_Data!C184="Maria.B"),Processed_Data!J184,"")</f>
        <v>45990</v>
      </c>
      <c r="AH184" t="str">
        <f>IF(AND($AB184=1,Processed_Data!C184="Sana Safinaz"),Processed_Data!J184,"")</f>
        <v/>
      </c>
      <c r="AI184">
        <f>IF(AND($AB184=1,Processed_Data!C184="J."),Processed_Data!L184,0)</f>
        <v>0</v>
      </c>
      <c r="AJ184">
        <f>IF(AND($AB184=1,Processed_Data!C184="Maria.B"),Processed_Data!L184,0)</f>
        <v>0</v>
      </c>
      <c r="AK184">
        <f>IF(AND($AB184=1,Processed_Data!C184="Sana Safinaz"),Processed_Data!L184,0)</f>
        <v>0</v>
      </c>
    </row>
    <row r="185" spans="21:37">
      <c r="U185" s="4" t="e">
        <f>IF(AND($AB185=1,Processed_Data!C185="J."),Processed_Data!J185,NA())</f>
        <v>#N/A</v>
      </c>
      <c r="V185" s="8" t="e">
        <f>IF(AND($AB185=1,Processed_Data!C185="J."),Processed_Data!L185/100,NA())</f>
        <v>#N/A</v>
      </c>
      <c r="W185" s="4">
        <f>IF(AND($AB185=1,Processed_Data!C185="Maria.B"),Processed_Data!J185,NA())</f>
        <v>43990</v>
      </c>
      <c r="X185" s="8">
        <f>IF(AND($AB185=1,Processed_Data!C185="Maria.B"),Processed_Data!L185/100,NA())</f>
        <v>0</v>
      </c>
      <c r="Y185" s="4" t="e">
        <f>IF(AND($AB185=1,Processed_Data!C185="Sana Safinaz"),Processed_Data!J185,NA())</f>
        <v>#N/A</v>
      </c>
      <c r="Z185" s="8" t="e">
        <f>IF(AND($AB185=1,Processed_Data!C185="Sana Safinaz"),Processed_Data!L185/100,NA())</f>
        <v>#N/A</v>
      </c>
      <c r="AB185">
        <f>--AND(OR($B$2="All",Processed_Data!C185=$B$2),OR($B$3="All",Processed_Data!F185=$B$3),OR($B$4="All",Processed_Data!G185=$B$4),OR($B$5="All",Processed_Data!H185=$B$5),OR($B$6="All",Processed_Data!R185=$B$6),OR($B$7="All",Processed_Data!N185=$B$7))</f>
        <v>1</v>
      </c>
      <c r="AC185">
        <f>IF($AB185=1,Processed_Data!J185,"")</f>
        <v>43990</v>
      </c>
      <c r="AD185">
        <f>IF($AB185=1,Processed_Data!L185,0)</f>
        <v>0</v>
      </c>
      <c r="AE185">
        <f>IF($AB185=1,--(Processed_Data!M185="On Sale"),0)</f>
        <v>0</v>
      </c>
      <c r="AF185" t="str">
        <f>IF(AND($AB185=1,Processed_Data!C185="J."),Processed_Data!J185,"")</f>
        <v/>
      </c>
      <c r="AG185">
        <f>IF(AND($AB185=1,Processed_Data!C185="Maria.B"),Processed_Data!J185,"")</f>
        <v>43990</v>
      </c>
      <c r="AH185" t="str">
        <f>IF(AND($AB185=1,Processed_Data!C185="Sana Safinaz"),Processed_Data!J185,"")</f>
        <v/>
      </c>
      <c r="AI185">
        <f>IF(AND($AB185=1,Processed_Data!C185="J."),Processed_Data!L185,0)</f>
        <v>0</v>
      </c>
      <c r="AJ185">
        <f>IF(AND($AB185=1,Processed_Data!C185="Maria.B"),Processed_Data!L185,0)</f>
        <v>0</v>
      </c>
      <c r="AK185">
        <f>IF(AND($AB185=1,Processed_Data!C185="Sana Safinaz"),Processed_Data!L185,0)</f>
        <v>0</v>
      </c>
    </row>
    <row r="186" spans="21:37">
      <c r="U186" s="4" t="e">
        <f>IF(AND($AB186=1,Processed_Data!C186="J."),Processed_Data!J186,NA())</f>
        <v>#N/A</v>
      </c>
      <c r="V186" s="8" t="e">
        <f>IF(AND($AB186=1,Processed_Data!C186="J."),Processed_Data!L186/100,NA())</f>
        <v>#N/A</v>
      </c>
      <c r="W186" s="4">
        <f>IF(AND($AB186=1,Processed_Data!C186="Maria.B"),Processed_Data!J186,NA())</f>
        <v>45990</v>
      </c>
      <c r="X186" s="8">
        <f>IF(AND($AB186=1,Processed_Data!C186="Maria.B"),Processed_Data!L186/100,NA())</f>
        <v>0</v>
      </c>
      <c r="Y186" s="4" t="e">
        <f>IF(AND($AB186=1,Processed_Data!C186="Sana Safinaz"),Processed_Data!J186,NA())</f>
        <v>#N/A</v>
      </c>
      <c r="Z186" s="8" t="e">
        <f>IF(AND($AB186=1,Processed_Data!C186="Sana Safinaz"),Processed_Data!L186/100,NA())</f>
        <v>#N/A</v>
      </c>
      <c r="AB186">
        <f>--AND(OR($B$2="All",Processed_Data!C186=$B$2),OR($B$3="All",Processed_Data!F186=$B$3),OR($B$4="All",Processed_Data!G186=$B$4),OR($B$5="All",Processed_Data!H186=$B$5),OR($B$6="All",Processed_Data!R186=$B$6),OR($B$7="All",Processed_Data!N186=$B$7))</f>
        <v>1</v>
      </c>
      <c r="AC186">
        <f>IF($AB186=1,Processed_Data!J186,"")</f>
        <v>45990</v>
      </c>
      <c r="AD186">
        <f>IF($AB186=1,Processed_Data!L186,0)</f>
        <v>0</v>
      </c>
      <c r="AE186">
        <f>IF($AB186=1,--(Processed_Data!M186="On Sale"),0)</f>
        <v>0</v>
      </c>
      <c r="AF186" t="str">
        <f>IF(AND($AB186=1,Processed_Data!C186="J."),Processed_Data!J186,"")</f>
        <v/>
      </c>
      <c r="AG186">
        <f>IF(AND($AB186=1,Processed_Data!C186="Maria.B"),Processed_Data!J186,"")</f>
        <v>45990</v>
      </c>
      <c r="AH186" t="str">
        <f>IF(AND($AB186=1,Processed_Data!C186="Sana Safinaz"),Processed_Data!J186,"")</f>
        <v/>
      </c>
      <c r="AI186">
        <f>IF(AND($AB186=1,Processed_Data!C186="J."),Processed_Data!L186,0)</f>
        <v>0</v>
      </c>
      <c r="AJ186">
        <f>IF(AND($AB186=1,Processed_Data!C186="Maria.B"),Processed_Data!L186,0)</f>
        <v>0</v>
      </c>
      <c r="AK186">
        <f>IF(AND($AB186=1,Processed_Data!C186="Sana Safinaz"),Processed_Data!L186,0)</f>
        <v>0</v>
      </c>
    </row>
    <row r="187" spans="21:37">
      <c r="U187" s="4" t="e">
        <f>IF(AND($AB187=1,Processed_Data!C187="J."),Processed_Data!J187,NA())</f>
        <v>#N/A</v>
      </c>
      <c r="V187" s="8" t="e">
        <f>IF(AND($AB187=1,Processed_Data!C187="J."),Processed_Data!L187/100,NA())</f>
        <v>#N/A</v>
      </c>
      <c r="W187" s="4">
        <f>IF(AND($AB187=1,Processed_Data!C187="Maria.B"),Processed_Data!J187,NA())</f>
        <v>47990</v>
      </c>
      <c r="X187" s="8">
        <f>IF(AND($AB187=1,Processed_Data!C187="Maria.B"),Processed_Data!L187/100,NA())</f>
        <v>0</v>
      </c>
      <c r="Y187" s="4" t="e">
        <f>IF(AND($AB187=1,Processed_Data!C187="Sana Safinaz"),Processed_Data!J187,NA())</f>
        <v>#N/A</v>
      </c>
      <c r="Z187" s="8" t="e">
        <f>IF(AND($AB187=1,Processed_Data!C187="Sana Safinaz"),Processed_Data!L187/100,NA())</f>
        <v>#N/A</v>
      </c>
      <c r="AB187">
        <f>--AND(OR($B$2="All",Processed_Data!C187=$B$2),OR($B$3="All",Processed_Data!F187=$B$3),OR($B$4="All",Processed_Data!G187=$B$4),OR($B$5="All",Processed_Data!H187=$B$5),OR($B$6="All",Processed_Data!R187=$B$6),OR($B$7="All",Processed_Data!N187=$B$7))</f>
        <v>1</v>
      </c>
      <c r="AC187">
        <f>IF($AB187=1,Processed_Data!J187,"")</f>
        <v>47990</v>
      </c>
      <c r="AD187">
        <f>IF($AB187=1,Processed_Data!L187,0)</f>
        <v>0</v>
      </c>
      <c r="AE187">
        <f>IF($AB187=1,--(Processed_Data!M187="On Sale"),0)</f>
        <v>0</v>
      </c>
      <c r="AF187" t="str">
        <f>IF(AND($AB187=1,Processed_Data!C187="J."),Processed_Data!J187,"")</f>
        <v/>
      </c>
      <c r="AG187">
        <f>IF(AND($AB187=1,Processed_Data!C187="Maria.B"),Processed_Data!J187,"")</f>
        <v>47990</v>
      </c>
      <c r="AH187" t="str">
        <f>IF(AND($AB187=1,Processed_Data!C187="Sana Safinaz"),Processed_Data!J187,"")</f>
        <v/>
      </c>
      <c r="AI187">
        <f>IF(AND($AB187=1,Processed_Data!C187="J."),Processed_Data!L187,0)</f>
        <v>0</v>
      </c>
      <c r="AJ187">
        <f>IF(AND($AB187=1,Processed_Data!C187="Maria.B"),Processed_Data!L187,0)</f>
        <v>0</v>
      </c>
      <c r="AK187">
        <f>IF(AND($AB187=1,Processed_Data!C187="Sana Safinaz"),Processed_Data!L187,0)</f>
        <v>0</v>
      </c>
    </row>
    <row r="188" spans="21:37">
      <c r="U188" s="4" t="e">
        <f>IF(AND($AB188=1,Processed_Data!C188="J."),Processed_Data!J188,NA())</f>
        <v>#N/A</v>
      </c>
      <c r="V188" s="8" t="e">
        <f>IF(AND($AB188=1,Processed_Data!C188="J."),Processed_Data!L188/100,NA())</f>
        <v>#N/A</v>
      </c>
      <c r="W188" s="4">
        <f>IF(AND($AB188=1,Processed_Data!C188="Maria.B"),Processed_Data!J188,NA())</f>
        <v>48990</v>
      </c>
      <c r="X188" s="8">
        <f>IF(AND($AB188=1,Processed_Data!C188="Maria.B"),Processed_Data!L188/100,NA())</f>
        <v>0</v>
      </c>
      <c r="Y188" s="4" t="e">
        <f>IF(AND($AB188=1,Processed_Data!C188="Sana Safinaz"),Processed_Data!J188,NA())</f>
        <v>#N/A</v>
      </c>
      <c r="Z188" s="8" t="e">
        <f>IF(AND($AB188=1,Processed_Data!C188="Sana Safinaz"),Processed_Data!L188/100,NA())</f>
        <v>#N/A</v>
      </c>
      <c r="AB188">
        <f>--AND(OR($B$2="All",Processed_Data!C188=$B$2),OR($B$3="All",Processed_Data!F188=$B$3),OR($B$4="All",Processed_Data!G188=$B$4),OR($B$5="All",Processed_Data!H188=$B$5),OR($B$6="All",Processed_Data!R188=$B$6),OR($B$7="All",Processed_Data!N188=$B$7))</f>
        <v>1</v>
      </c>
      <c r="AC188">
        <f>IF($AB188=1,Processed_Data!J188,"")</f>
        <v>48990</v>
      </c>
      <c r="AD188">
        <f>IF($AB188=1,Processed_Data!L188,0)</f>
        <v>0</v>
      </c>
      <c r="AE188">
        <f>IF($AB188=1,--(Processed_Data!M188="On Sale"),0)</f>
        <v>0</v>
      </c>
      <c r="AF188" t="str">
        <f>IF(AND($AB188=1,Processed_Data!C188="J."),Processed_Data!J188,"")</f>
        <v/>
      </c>
      <c r="AG188">
        <f>IF(AND($AB188=1,Processed_Data!C188="Maria.B"),Processed_Data!J188,"")</f>
        <v>48990</v>
      </c>
      <c r="AH188" t="str">
        <f>IF(AND($AB188=1,Processed_Data!C188="Sana Safinaz"),Processed_Data!J188,"")</f>
        <v/>
      </c>
      <c r="AI188">
        <f>IF(AND($AB188=1,Processed_Data!C188="J."),Processed_Data!L188,0)</f>
        <v>0</v>
      </c>
      <c r="AJ188">
        <f>IF(AND($AB188=1,Processed_Data!C188="Maria.B"),Processed_Data!L188,0)</f>
        <v>0</v>
      </c>
      <c r="AK188">
        <f>IF(AND($AB188=1,Processed_Data!C188="Sana Safinaz"),Processed_Data!L188,0)</f>
        <v>0</v>
      </c>
    </row>
    <row r="189" spans="21:37">
      <c r="U189" s="4" t="e">
        <f>IF(AND($AB189=1,Processed_Data!C189="J."),Processed_Data!J189,NA())</f>
        <v>#N/A</v>
      </c>
      <c r="V189" s="8" t="e">
        <f>IF(AND($AB189=1,Processed_Data!C189="J."),Processed_Data!L189/100,NA())</f>
        <v>#N/A</v>
      </c>
      <c r="W189" s="4">
        <f>IF(AND($AB189=1,Processed_Data!C189="Maria.B"),Processed_Data!J189,NA())</f>
        <v>47990</v>
      </c>
      <c r="X189" s="8">
        <f>IF(AND($AB189=1,Processed_Data!C189="Maria.B"),Processed_Data!L189/100,NA())</f>
        <v>0</v>
      </c>
      <c r="Y189" s="4" t="e">
        <f>IF(AND($AB189=1,Processed_Data!C189="Sana Safinaz"),Processed_Data!J189,NA())</f>
        <v>#N/A</v>
      </c>
      <c r="Z189" s="8" t="e">
        <f>IF(AND($AB189=1,Processed_Data!C189="Sana Safinaz"),Processed_Data!L189/100,NA())</f>
        <v>#N/A</v>
      </c>
      <c r="AB189">
        <f>--AND(OR($B$2="All",Processed_Data!C189=$B$2),OR($B$3="All",Processed_Data!F189=$B$3),OR($B$4="All",Processed_Data!G189=$B$4),OR($B$5="All",Processed_Data!H189=$B$5),OR($B$6="All",Processed_Data!R189=$B$6),OR($B$7="All",Processed_Data!N189=$B$7))</f>
        <v>1</v>
      </c>
      <c r="AC189">
        <f>IF($AB189=1,Processed_Data!J189,"")</f>
        <v>47990</v>
      </c>
      <c r="AD189">
        <f>IF($AB189=1,Processed_Data!L189,0)</f>
        <v>0</v>
      </c>
      <c r="AE189">
        <f>IF($AB189=1,--(Processed_Data!M189="On Sale"),0)</f>
        <v>0</v>
      </c>
      <c r="AF189" t="str">
        <f>IF(AND($AB189=1,Processed_Data!C189="J."),Processed_Data!J189,"")</f>
        <v/>
      </c>
      <c r="AG189">
        <f>IF(AND($AB189=1,Processed_Data!C189="Maria.B"),Processed_Data!J189,"")</f>
        <v>47990</v>
      </c>
      <c r="AH189" t="str">
        <f>IF(AND($AB189=1,Processed_Data!C189="Sana Safinaz"),Processed_Data!J189,"")</f>
        <v/>
      </c>
      <c r="AI189">
        <f>IF(AND($AB189=1,Processed_Data!C189="J."),Processed_Data!L189,0)</f>
        <v>0</v>
      </c>
      <c r="AJ189">
        <f>IF(AND($AB189=1,Processed_Data!C189="Maria.B"),Processed_Data!L189,0)</f>
        <v>0</v>
      </c>
      <c r="AK189">
        <f>IF(AND($AB189=1,Processed_Data!C189="Sana Safinaz"),Processed_Data!L189,0)</f>
        <v>0</v>
      </c>
    </row>
    <row r="190" spans="21:37">
      <c r="U190" s="4" t="e">
        <f>IF(AND($AB190=1,Processed_Data!C190="J."),Processed_Data!J190,NA())</f>
        <v>#N/A</v>
      </c>
      <c r="V190" s="8" t="e">
        <f>IF(AND($AB190=1,Processed_Data!C190="J."),Processed_Data!L190/100,NA())</f>
        <v>#N/A</v>
      </c>
      <c r="W190" s="4">
        <f>IF(AND($AB190=1,Processed_Data!C190="Maria.B"),Processed_Data!J190,NA())</f>
        <v>39990</v>
      </c>
      <c r="X190" s="8">
        <f>IF(AND($AB190=1,Processed_Data!C190="Maria.B"),Processed_Data!L190/100,NA())</f>
        <v>0</v>
      </c>
      <c r="Y190" s="4" t="e">
        <f>IF(AND($AB190=1,Processed_Data!C190="Sana Safinaz"),Processed_Data!J190,NA())</f>
        <v>#N/A</v>
      </c>
      <c r="Z190" s="8" t="e">
        <f>IF(AND($AB190=1,Processed_Data!C190="Sana Safinaz"),Processed_Data!L190/100,NA())</f>
        <v>#N/A</v>
      </c>
      <c r="AB190">
        <f>--AND(OR($B$2="All",Processed_Data!C190=$B$2),OR($B$3="All",Processed_Data!F190=$B$3),OR($B$4="All",Processed_Data!G190=$B$4),OR($B$5="All",Processed_Data!H190=$B$5),OR($B$6="All",Processed_Data!R190=$B$6),OR($B$7="All",Processed_Data!N190=$B$7))</f>
        <v>1</v>
      </c>
      <c r="AC190">
        <f>IF($AB190=1,Processed_Data!J190,"")</f>
        <v>39990</v>
      </c>
      <c r="AD190">
        <f>IF($AB190=1,Processed_Data!L190,0)</f>
        <v>0</v>
      </c>
      <c r="AE190">
        <f>IF($AB190=1,--(Processed_Data!M190="On Sale"),0)</f>
        <v>0</v>
      </c>
      <c r="AF190" t="str">
        <f>IF(AND($AB190=1,Processed_Data!C190="J."),Processed_Data!J190,"")</f>
        <v/>
      </c>
      <c r="AG190">
        <f>IF(AND($AB190=1,Processed_Data!C190="Maria.B"),Processed_Data!J190,"")</f>
        <v>39990</v>
      </c>
      <c r="AH190" t="str">
        <f>IF(AND($AB190=1,Processed_Data!C190="Sana Safinaz"),Processed_Data!J190,"")</f>
        <v/>
      </c>
      <c r="AI190">
        <f>IF(AND($AB190=1,Processed_Data!C190="J."),Processed_Data!L190,0)</f>
        <v>0</v>
      </c>
      <c r="AJ190">
        <f>IF(AND($AB190=1,Processed_Data!C190="Maria.B"),Processed_Data!L190,0)</f>
        <v>0</v>
      </c>
      <c r="AK190">
        <f>IF(AND($AB190=1,Processed_Data!C190="Sana Safinaz"),Processed_Data!L190,0)</f>
        <v>0</v>
      </c>
    </row>
    <row r="191" spans="21:37">
      <c r="U191" s="4" t="e">
        <f>IF(AND($AB191=1,Processed_Data!C191="J."),Processed_Data!J191,NA())</f>
        <v>#N/A</v>
      </c>
      <c r="V191" s="8" t="e">
        <f>IF(AND($AB191=1,Processed_Data!C191="J."),Processed_Data!L191/100,NA())</f>
        <v>#N/A</v>
      </c>
      <c r="W191" s="4">
        <f>IF(AND($AB191=1,Processed_Data!C191="Maria.B"),Processed_Data!J191,NA())</f>
        <v>48990</v>
      </c>
      <c r="X191" s="8">
        <f>IF(AND($AB191=1,Processed_Data!C191="Maria.B"),Processed_Data!L191/100,NA())</f>
        <v>0</v>
      </c>
      <c r="Y191" s="4" t="e">
        <f>IF(AND($AB191=1,Processed_Data!C191="Sana Safinaz"),Processed_Data!J191,NA())</f>
        <v>#N/A</v>
      </c>
      <c r="Z191" s="8" t="e">
        <f>IF(AND($AB191=1,Processed_Data!C191="Sana Safinaz"),Processed_Data!L191/100,NA())</f>
        <v>#N/A</v>
      </c>
      <c r="AB191">
        <f>--AND(OR($B$2="All",Processed_Data!C191=$B$2),OR($B$3="All",Processed_Data!F191=$B$3),OR($B$4="All",Processed_Data!G191=$B$4),OR($B$5="All",Processed_Data!H191=$B$5),OR($B$6="All",Processed_Data!R191=$B$6),OR($B$7="All",Processed_Data!N191=$B$7))</f>
        <v>1</v>
      </c>
      <c r="AC191">
        <f>IF($AB191=1,Processed_Data!J191,"")</f>
        <v>48990</v>
      </c>
      <c r="AD191">
        <f>IF($AB191=1,Processed_Data!L191,0)</f>
        <v>0</v>
      </c>
      <c r="AE191">
        <f>IF($AB191=1,--(Processed_Data!M191="On Sale"),0)</f>
        <v>0</v>
      </c>
      <c r="AF191" t="str">
        <f>IF(AND($AB191=1,Processed_Data!C191="J."),Processed_Data!J191,"")</f>
        <v/>
      </c>
      <c r="AG191">
        <f>IF(AND($AB191=1,Processed_Data!C191="Maria.B"),Processed_Data!J191,"")</f>
        <v>48990</v>
      </c>
      <c r="AH191" t="str">
        <f>IF(AND($AB191=1,Processed_Data!C191="Sana Safinaz"),Processed_Data!J191,"")</f>
        <v/>
      </c>
      <c r="AI191">
        <f>IF(AND($AB191=1,Processed_Data!C191="J."),Processed_Data!L191,0)</f>
        <v>0</v>
      </c>
      <c r="AJ191">
        <f>IF(AND($AB191=1,Processed_Data!C191="Maria.B"),Processed_Data!L191,0)</f>
        <v>0</v>
      </c>
      <c r="AK191">
        <f>IF(AND($AB191=1,Processed_Data!C191="Sana Safinaz"),Processed_Data!L191,0)</f>
        <v>0</v>
      </c>
    </row>
    <row r="192" spans="21:37">
      <c r="U192" s="4" t="e">
        <f>IF(AND($AB192=1,Processed_Data!C192="J."),Processed_Data!J192,NA())</f>
        <v>#N/A</v>
      </c>
      <c r="V192" s="8" t="e">
        <f>IF(AND($AB192=1,Processed_Data!C192="J."),Processed_Data!L192/100,NA())</f>
        <v>#N/A</v>
      </c>
      <c r="W192" s="4">
        <f>IF(AND($AB192=1,Processed_Data!C192="Maria.B"),Processed_Data!J192,NA())</f>
        <v>47990</v>
      </c>
      <c r="X192" s="8">
        <f>IF(AND($AB192=1,Processed_Data!C192="Maria.B"),Processed_Data!L192/100,NA())</f>
        <v>0</v>
      </c>
      <c r="Y192" s="4" t="e">
        <f>IF(AND($AB192=1,Processed_Data!C192="Sana Safinaz"),Processed_Data!J192,NA())</f>
        <v>#N/A</v>
      </c>
      <c r="Z192" s="8" t="e">
        <f>IF(AND($AB192=1,Processed_Data!C192="Sana Safinaz"),Processed_Data!L192/100,NA())</f>
        <v>#N/A</v>
      </c>
      <c r="AB192">
        <f>--AND(OR($B$2="All",Processed_Data!C192=$B$2),OR($B$3="All",Processed_Data!F192=$B$3),OR($B$4="All",Processed_Data!G192=$B$4),OR($B$5="All",Processed_Data!H192=$B$5),OR($B$6="All",Processed_Data!R192=$B$6),OR($B$7="All",Processed_Data!N192=$B$7))</f>
        <v>1</v>
      </c>
      <c r="AC192">
        <f>IF($AB192=1,Processed_Data!J192,"")</f>
        <v>47990</v>
      </c>
      <c r="AD192">
        <f>IF($AB192=1,Processed_Data!L192,0)</f>
        <v>0</v>
      </c>
      <c r="AE192">
        <f>IF($AB192=1,--(Processed_Data!M192="On Sale"),0)</f>
        <v>0</v>
      </c>
      <c r="AF192" t="str">
        <f>IF(AND($AB192=1,Processed_Data!C192="J."),Processed_Data!J192,"")</f>
        <v/>
      </c>
      <c r="AG192">
        <f>IF(AND($AB192=1,Processed_Data!C192="Maria.B"),Processed_Data!J192,"")</f>
        <v>47990</v>
      </c>
      <c r="AH192" t="str">
        <f>IF(AND($AB192=1,Processed_Data!C192="Sana Safinaz"),Processed_Data!J192,"")</f>
        <v/>
      </c>
      <c r="AI192">
        <f>IF(AND($AB192=1,Processed_Data!C192="J."),Processed_Data!L192,0)</f>
        <v>0</v>
      </c>
      <c r="AJ192">
        <f>IF(AND($AB192=1,Processed_Data!C192="Maria.B"),Processed_Data!L192,0)</f>
        <v>0</v>
      </c>
      <c r="AK192">
        <f>IF(AND($AB192=1,Processed_Data!C192="Sana Safinaz"),Processed_Data!L192,0)</f>
        <v>0</v>
      </c>
    </row>
    <row r="193" spans="21:37">
      <c r="U193" s="4" t="e">
        <f>IF(AND($AB193=1,Processed_Data!C193="J."),Processed_Data!J193,NA())</f>
        <v>#N/A</v>
      </c>
      <c r="V193" s="8" t="e">
        <f>IF(AND($AB193=1,Processed_Data!C193="J."),Processed_Data!L193/100,NA())</f>
        <v>#N/A</v>
      </c>
      <c r="W193" s="4">
        <f>IF(AND($AB193=1,Processed_Data!C193="Maria.B"),Processed_Data!J193,NA())</f>
        <v>39990</v>
      </c>
      <c r="X193" s="8">
        <f>IF(AND($AB193=1,Processed_Data!C193="Maria.B"),Processed_Data!L193/100,NA())</f>
        <v>0</v>
      </c>
      <c r="Y193" s="4" t="e">
        <f>IF(AND($AB193=1,Processed_Data!C193="Sana Safinaz"),Processed_Data!J193,NA())</f>
        <v>#N/A</v>
      </c>
      <c r="Z193" s="8" t="e">
        <f>IF(AND($AB193=1,Processed_Data!C193="Sana Safinaz"),Processed_Data!L193/100,NA())</f>
        <v>#N/A</v>
      </c>
      <c r="AB193">
        <f>--AND(OR($B$2="All",Processed_Data!C193=$B$2),OR($B$3="All",Processed_Data!F193=$B$3),OR($B$4="All",Processed_Data!G193=$B$4),OR($B$5="All",Processed_Data!H193=$B$5),OR($B$6="All",Processed_Data!R193=$B$6),OR($B$7="All",Processed_Data!N193=$B$7))</f>
        <v>1</v>
      </c>
      <c r="AC193">
        <f>IF($AB193=1,Processed_Data!J193,"")</f>
        <v>39990</v>
      </c>
      <c r="AD193">
        <f>IF($AB193=1,Processed_Data!L193,0)</f>
        <v>0</v>
      </c>
      <c r="AE193">
        <f>IF($AB193=1,--(Processed_Data!M193="On Sale"),0)</f>
        <v>0</v>
      </c>
      <c r="AF193" t="str">
        <f>IF(AND($AB193=1,Processed_Data!C193="J."),Processed_Data!J193,"")</f>
        <v/>
      </c>
      <c r="AG193">
        <f>IF(AND($AB193=1,Processed_Data!C193="Maria.B"),Processed_Data!J193,"")</f>
        <v>39990</v>
      </c>
      <c r="AH193" t="str">
        <f>IF(AND($AB193=1,Processed_Data!C193="Sana Safinaz"),Processed_Data!J193,"")</f>
        <v/>
      </c>
      <c r="AI193">
        <f>IF(AND($AB193=1,Processed_Data!C193="J."),Processed_Data!L193,0)</f>
        <v>0</v>
      </c>
      <c r="AJ193">
        <f>IF(AND($AB193=1,Processed_Data!C193="Maria.B"),Processed_Data!L193,0)</f>
        <v>0</v>
      </c>
      <c r="AK193">
        <f>IF(AND($AB193=1,Processed_Data!C193="Sana Safinaz"),Processed_Data!L193,0)</f>
        <v>0</v>
      </c>
    </row>
    <row r="194" spans="21:37">
      <c r="U194" s="4" t="e">
        <f>IF(AND($AB194=1,Processed_Data!C194="J."),Processed_Data!J194,NA())</f>
        <v>#N/A</v>
      </c>
      <c r="V194" s="8" t="e">
        <f>IF(AND($AB194=1,Processed_Data!C194="J."),Processed_Data!L194/100,NA())</f>
        <v>#N/A</v>
      </c>
      <c r="W194" s="4">
        <f>IF(AND($AB194=1,Processed_Data!C194="Maria.B"),Processed_Data!J194,NA())</f>
        <v>47990</v>
      </c>
      <c r="X194" s="8">
        <f>IF(AND($AB194=1,Processed_Data!C194="Maria.B"),Processed_Data!L194/100,NA())</f>
        <v>0</v>
      </c>
      <c r="Y194" s="4" t="e">
        <f>IF(AND($AB194=1,Processed_Data!C194="Sana Safinaz"),Processed_Data!J194,NA())</f>
        <v>#N/A</v>
      </c>
      <c r="Z194" s="8" t="e">
        <f>IF(AND($AB194=1,Processed_Data!C194="Sana Safinaz"),Processed_Data!L194/100,NA())</f>
        <v>#N/A</v>
      </c>
      <c r="AB194">
        <f>--AND(OR($B$2="All",Processed_Data!C194=$B$2),OR($B$3="All",Processed_Data!F194=$B$3),OR($B$4="All",Processed_Data!G194=$B$4),OR($B$5="All",Processed_Data!H194=$B$5),OR($B$6="All",Processed_Data!R194=$B$6),OR($B$7="All",Processed_Data!N194=$B$7))</f>
        <v>1</v>
      </c>
      <c r="AC194">
        <f>IF($AB194=1,Processed_Data!J194,"")</f>
        <v>47990</v>
      </c>
      <c r="AD194">
        <f>IF($AB194=1,Processed_Data!L194,0)</f>
        <v>0</v>
      </c>
      <c r="AE194">
        <f>IF($AB194=1,--(Processed_Data!M194="On Sale"),0)</f>
        <v>0</v>
      </c>
      <c r="AF194" t="str">
        <f>IF(AND($AB194=1,Processed_Data!C194="J."),Processed_Data!J194,"")</f>
        <v/>
      </c>
      <c r="AG194">
        <f>IF(AND($AB194=1,Processed_Data!C194="Maria.B"),Processed_Data!J194,"")</f>
        <v>47990</v>
      </c>
      <c r="AH194" t="str">
        <f>IF(AND($AB194=1,Processed_Data!C194="Sana Safinaz"),Processed_Data!J194,"")</f>
        <v/>
      </c>
      <c r="AI194">
        <f>IF(AND($AB194=1,Processed_Data!C194="J."),Processed_Data!L194,0)</f>
        <v>0</v>
      </c>
      <c r="AJ194">
        <f>IF(AND($AB194=1,Processed_Data!C194="Maria.B"),Processed_Data!L194,0)</f>
        <v>0</v>
      </c>
      <c r="AK194">
        <f>IF(AND($AB194=1,Processed_Data!C194="Sana Safinaz"),Processed_Data!L194,0)</f>
        <v>0</v>
      </c>
    </row>
    <row r="195" spans="21:37">
      <c r="U195" s="4" t="e">
        <f>IF(AND($AB195=1,Processed_Data!C195="J."),Processed_Data!J195,NA())</f>
        <v>#N/A</v>
      </c>
      <c r="V195" s="8" t="e">
        <f>IF(AND($AB195=1,Processed_Data!C195="J."),Processed_Data!L195/100,NA())</f>
        <v>#N/A</v>
      </c>
      <c r="W195" s="4">
        <f>IF(AND($AB195=1,Processed_Data!C195="Maria.B"),Processed_Data!J195,NA())</f>
        <v>53990</v>
      </c>
      <c r="X195" s="8">
        <f>IF(AND($AB195=1,Processed_Data!C195="Maria.B"),Processed_Data!L195/100,NA())</f>
        <v>0</v>
      </c>
      <c r="Y195" s="4" t="e">
        <f>IF(AND($AB195=1,Processed_Data!C195="Sana Safinaz"),Processed_Data!J195,NA())</f>
        <v>#N/A</v>
      </c>
      <c r="Z195" s="8" t="e">
        <f>IF(AND($AB195=1,Processed_Data!C195="Sana Safinaz"),Processed_Data!L195/100,NA())</f>
        <v>#N/A</v>
      </c>
      <c r="AB195">
        <f>--AND(OR($B$2="All",Processed_Data!C195=$B$2),OR($B$3="All",Processed_Data!F195=$B$3),OR($B$4="All",Processed_Data!G195=$B$4),OR($B$5="All",Processed_Data!H195=$B$5),OR($B$6="All",Processed_Data!R195=$B$6),OR($B$7="All",Processed_Data!N195=$B$7))</f>
        <v>1</v>
      </c>
      <c r="AC195">
        <f>IF($AB195=1,Processed_Data!J195,"")</f>
        <v>53990</v>
      </c>
      <c r="AD195">
        <f>IF($AB195=1,Processed_Data!L195,0)</f>
        <v>0</v>
      </c>
      <c r="AE195">
        <f>IF($AB195=1,--(Processed_Data!M195="On Sale"),0)</f>
        <v>0</v>
      </c>
      <c r="AF195" t="str">
        <f>IF(AND($AB195=1,Processed_Data!C195="J."),Processed_Data!J195,"")</f>
        <v/>
      </c>
      <c r="AG195">
        <f>IF(AND($AB195=1,Processed_Data!C195="Maria.B"),Processed_Data!J195,"")</f>
        <v>53990</v>
      </c>
      <c r="AH195" t="str">
        <f>IF(AND($AB195=1,Processed_Data!C195="Sana Safinaz"),Processed_Data!J195,"")</f>
        <v/>
      </c>
      <c r="AI195">
        <f>IF(AND($AB195=1,Processed_Data!C195="J."),Processed_Data!L195,0)</f>
        <v>0</v>
      </c>
      <c r="AJ195">
        <f>IF(AND($AB195=1,Processed_Data!C195="Maria.B"),Processed_Data!L195,0)</f>
        <v>0</v>
      </c>
      <c r="AK195">
        <f>IF(AND($AB195=1,Processed_Data!C195="Sana Safinaz"),Processed_Data!L195,0)</f>
        <v>0</v>
      </c>
    </row>
    <row r="196" spans="21:37">
      <c r="U196" s="4" t="e">
        <f>IF(AND($AB196=1,Processed_Data!C196="J."),Processed_Data!J196,NA())</f>
        <v>#N/A</v>
      </c>
      <c r="V196" s="8" t="e">
        <f>IF(AND($AB196=1,Processed_Data!C196="J."),Processed_Data!L196/100,NA())</f>
        <v>#N/A</v>
      </c>
      <c r="W196" s="4">
        <f>IF(AND($AB196=1,Processed_Data!C196="Maria.B"),Processed_Data!J196,NA())</f>
        <v>36990</v>
      </c>
      <c r="X196" s="8">
        <f>IF(AND($AB196=1,Processed_Data!C196="Maria.B"),Processed_Data!L196/100,NA())</f>
        <v>0</v>
      </c>
      <c r="Y196" s="4" t="e">
        <f>IF(AND($AB196=1,Processed_Data!C196="Sana Safinaz"),Processed_Data!J196,NA())</f>
        <v>#N/A</v>
      </c>
      <c r="Z196" s="8" t="e">
        <f>IF(AND($AB196=1,Processed_Data!C196="Sana Safinaz"),Processed_Data!L196/100,NA())</f>
        <v>#N/A</v>
      </c>
      <c r="AB196">
        <f>--AND(OR($B$2="All",Processed_Data!C196=$B$2),OR($B$3="All",Processed_Data!F196=$B$3),OR($B$4="All",Processed_Data!G196=$B$4),OR($B$5="All",Processed_Data!H196=$B$5),OR($B$6="All",Processed_Data!R196=$B$6),OR($B$7="All",Processed_Data!N196=$B$7))</f>
        <v>1</v>
      </c>
      <c r="AC196">
        <f>IF($AB196=1,Processed_Data!J196,"")</f>
        <v>36990</v>
      </c>
      <c r="AD196">
        <f>IF($AB196=1,Processed_Data!L196,0)</f>
        <v>0</v>
      </c>
      <c r="AE196">
        <f>IF($AB196=1,--(Processed_Data!M196="On Sale"),0)</f>
        <v>0</v>
      </c>
      <c r="AF196" t="str">
        <f>IF(AND($AB196=1,Processed_Data!C196="J."),Processed_Data!J196,"")</f>
        <v/>
      </c>
      <c r="AG196">
        <f>IF(AND($AB196=1,Processed_Data!C196="Maria.B"),Processed_Data!J196,"")</f>
        <v>36990</v>
      </c>
      <c r="AH196" t="str">
        <f>IF(AND($AB196=1,Processed_Data!C196="Sana Safinaz"),Processed_Data!J196,"")</f>
        <v/>
      </c>
      <c r="AI196">
        <f>IF(AND($AB196=1,Processed_Data!C196="J."),Processed_Data!L196,0)</f>
        <v>0</v>
      </c>
      <c r="AJ196">
        <f>IF(AND($AB196=1,Processed_Data!C196="Maria.B"),Processed_Data!L196,0)</f>
        <v>0</v>
      </c>
      <c r="AK196">
        <f>IF(AND($AB196=1,Processed_Data!C196="Sana Safinaz"),Processed_Data!L196,0)</f>
        <v>0</v>
      </c>
    </row>
    <row r="197" spans="21:37">
      <c r="U197" s="4" t="e">
        <f>IF(AND($AB197=1,Processed_Data!C197="J."),Processed_Data!J197,NA())</f>
        <v>#N/A</v>
      </c>
      <c r="V197" s="8" t="e">
        <f>IF(AND($AB197=1,Processed_Data!C197="J."),Processed_Data!L197/100,NA())</f>
        <v>#N/A</v>
      </c>
      <c r="W197" s="4">
        <f>IF(AND($AB197=1,Processed_Data!C197="Maria.B"),Processed_Data!J197,NA())</f>
        <v>45990</v>
      </c>
      <c r="X197" s="8">
        <f>IF(AND($AB197=1,Processed_Data!C197="Maria.B"),Processed_Data!L197/100,NA())</f>
        <v>0</v>
      </c>
      <c r="Y197" s="4" t="e">
        <f>IF(AND($AB197=1,Processed_Data!C197="Sana Safinaz"),Processed_Data!J197,NA())</f>
        <v>#N/A</v>
      </c>
      <c r="Z197" s="8" t="e">
        <f>IF(AND($AB197=1,Processed_Data!C197="Sana Safinaz"),Processed_Data!L197/100,NA())</f>
        <v>#N/A</v>
      </c>
      <c r="AB197">
        <f>--AND(OR($B$2="All",Processed_Data!C197=$B$2),OR($B$3="All",Processed_Data!F197=$B$3),OR($B$4="All",Processed_Data!G197=$B$4),OR($B$5="All",Processed_Data!H197=$B$5),OR($B$6="All",Processed_Data!R197=$B$6),OR($B$7="All",Processed_Data!N197=$B$7))</f>
        <v>1</v>
      </c>
      <c r="AC197">
        <f>IF($AB197=1,Processed_Data!J197,"")</f>
        <v>45990</v>
      </c>
      <c r="AD197">
        <f>IF($AB197=1,Processed_Data!L197,0)</f>
        <v>0</v>
      </c>
      <c r="AE197">
        <f>IF($AB197=1,--(Processed_Data!M197="On Sale"),0)</f>
        <v>0</v>
      </c>
      <c r="AF197" t="str">
        <f>IF(AND($AB197=1,Processed_Data!C197="J."),Processed_Data!J197,"")</f>
        <v/>
      </c>
      <c r="AG197">
        <f>IF(AND($AB197=1,Processed_Data!C197="Maria.B"),Processed_Data!J197,"")</f>
        <v>45990</v>
      </c>
      <c r="AH197" t="str">
        <f>IF(AND($AB197=1,Processed_Data!C197="Sana Safinaz"),Processed_Data!J197,"")</f>
        <v/>
      </c>
      <c r="AI197">
        <f>IF(AND($AB197=1,Processed_Data!C197="J."),Processed_Data!L197,0)</f>
        <v>0</v>
      </c>
      <c r="AJ197">
        <f>IF(AND($AB197=1,Processed_Data!C197="Maria.B"),Processed_Data!L197,0)</f>
        <v>0</v>
      </c>
      <c r="AK197">
        <f>IF(AND($AB197=1,Processed_Data!C197="Sana Safinaz"),Processed_Data!L197,0)</f>
        <v>0</v>
      </c>
    </row>
    <row r="198" spans="21:37">
      <c r="U198" s="4" t="e">
        <f>IF(AND($AB198=1,Processed_Data!C198="J."),Processed_Data!J198,NA())</f>
        <v>#N/A</v>
      </c>
      <c r="V198" s="8" t="e">
        <f>IF(AND($AB198=1,Processed_Data!C198="J."),Processed_Data!L198/100,NA())</f>
        <v>#N/A</v>
      </c>
      <c r="W198" s="4">
        <f>IF(AND($AB198=1,Processed_Data!C198="Maria.B"),Processed_Data!J198,NA())</f>
        <v>48990</v>
      </c>
      <c r="X198" s="8">
        <f>IF(AND($AB198=1,Processed_Data!C198="Maria.B"),Processed_Data!L198/100,NA())</f>
        <v>0</v>
      </c>
      <c r="Y198" s="4" t="e">
        <f>IF(AND($AB198=1,Processed_Data!C198="Sana Safinaz"),Processed_Data!J198,NA())</f>
        <v>#N/A</v>
      </c>
      <c r="Z198" s="8" t="e">
        <f>IF(AND($AB198=1,Processed_Data!C198="Sana Safinaz"),Processed_Data!L198/100,NA())</f>
        <v>#N/A</v>
      </c>
      <c r="AB198">
        <f>--AND(OR($B$2="All",Processed_Data!C198=$B$2),OR($B$3="All",Processed_Data!F198=$B$3),OR($B$4="All",Processed_Data!G198=$B$4),OR($B$5="All",Processed_Data!H198=$B$5),OR($B$6="All",Processed_Data!R198=$B$6),OR($B$7="All",Processed_Data!N198=$B$7))</f>
        <v>1</v>
      </c>
      <c r="AC198">
        <f>IF($AB198=1,Processed_Data!J198,"")</f>
        <v>48990</v>
      </c>
      <c r="AD198">
        <f>IF($AB198=1,Processed_Data!L198,0)</f>
        <v>0</v>
      </c>
      <c r="AE198">
        <f>IF($AB198=1,--(Processed_Data!M198="On Sale"),0)</f>
        <v>0</v>
      </c>
      <c r="AF198" t="str">
        <f>IF(AND($AB198=1,Processed_Data!C198="J."),Processed_Data!J198,"")</f>
        <v/>
      </c>
      <c r="AG198">
        <f>IF(AND($AB198=1,Processed_Data!C198="Maria.B"),Processed_Data!J198,"")</f>
        <v>48990</v>
      </c>
      <c r="AH198" t="str">
        <f>IF(AND($AB198=1,Processed_Data!C198="Sana Safinaz"),Processed_Data!J198,"")</f>
        <v/>
      </c>
      <c r="AI198">
        <f>IF(AND($AB198=1,Processed_Data!C198="J."),Processed_Data!L198,0)</f>
        <v>0</v>
      </c>
      <c r="AJ198">
        <f>IF(AND($AB198=1,Processed_Data!C198="Maria.B"),Processed_Data!L198,0)</f>
        <v>0</v>
      </c>
      <c r="AK198">
        <f>IF(AND($AB198=1,Processed_Data!C198="Sana Safinaz"),Processed_Data!L198,0)</f>
        <v>0</v>
      </c>
    </row>
    <row r="199" spans="21:37">
      <c r="U199" s="4" t="e">
        <f>IF(AND($AB199=1,Processed_Data!C199="J."),Processed_Data!J199,NA())</f>
        <v>#N/A</v>
      </c>
      <c r="V199" s="8" t="e">
        <f>IF(AND($AB199=1,Processed_Data!C199="J."),Processed_Data!L199/100,NA())</f>
        <v>#N/A</v>
      </c>
      <c r="W199" s="4">
        <f>IF(AND($AB199=1,Processed_Data!C199="Maria.B"),Processed_Data!J199,NA())</f>
        <v>26990</v>
      </c>
      <c r="X199" s="8">
        <f>IF(AND($AB199=1,Processed_Data!C199="Maria.B"),Processed_Data!L199/100,NA())</f>
        <v>0</v>
      </c>
      <c r="Y199" s="4" t="e">
        <f>IF(AND($AB199=1,Processed_Data!C199="Sana Safinaz"),Processed_Data!J199,NA())</f>
        <v>#N/A</v>
      </c>
      <c r="Z199" s="8" t="e">
        <f>IF(AND($AB199=1,Processed_Data!C199="Sana Safinaz"),Processed_Data!L199/100,NA())</f>
        <v>#N/A</v>
      </c>
      <c r="AB199">
        <f>--AND(OR($B$2="All",Processed_Data!C199=$B$2),OR($B$3="All",Processed_Data!F199=$B$3),OR($B$4="All",Processed_Data!G199=$B$4),OR($B$5="All",Processed_Data!H199=$B$5),OR($B$6="All",Processed_Data!R199=$B$6),OR($B$7="All",Processed_Data!N199=$B$7))</f>
        <v>1</v>
      </c>
      <c r="AC199">
        <f>IF($AB199=1,Processed_Data!J199,"")</f>
        <v>26990</v>
      </c>
      <c r="AD199">
        <f>IF($AB199=1,Processed_Data!L199,0)</f>
        <v>0</v>
      </c>
      <c r="AE199">
        <f>IF($AB199=1,--(Processed_Data!M199="On Sale"),0)</f>
        <v>0</v>
      </c>
      <c r="AF199" t="str">
        <f>IF(AND($AB199=1,Processed_Data!C199="J."),Processed_Data!J199,"")</f>
        <v/>
      </c>
      <c r="AG199">
        <f>IF(AND($AB199=1,Processed_Data!C199="Maria.B"),Processed_Data!J199,"")</f>
        <v>26990</v>
      </c>
      <c r="AH199" t="str">
        <f>IF(AND($AB199=1,Processed_Data!C199="Sana Safinaz"),Processed_Data!J199,"")</f>
        <v/>
      </c>
      <c r="AI199">
        <f>IF(AND($AB199=1,Processed_Data!C199="J."),Processed_Data!L199,0)</f>
        <v>0</v>
      </c>
      <c r="AJ199">
        <f>IF(AND($AB199=1,Processed_Data!C199="Maria.B"),Processed_Data!L199,0)</f>
        <v>0</v>
      </c>
      <c r="AK199">
        <f>IF(AND($AB199=1,Processed_Data!C199="Sana Safinaz"),Processed_Data!L199,0)</f>
        <v>0</v>
      </c>
    </row>
    <row r="200" spans="21:37">
      <c r="U200" s="4" t="e">
        <f>IF(AND($AB200=1,Processed_Data!C200="J."),Processed_Data!J200,NA())</f>
        <v>#N/A</v>
      </c>
      <c r="V200" s="8" t="e">
        <f>IF(AND($AB200=1,Processed_Data!C200="J."),Processed_Data!L200/100,NA())</f>
        <v>#N/A</v>
      </c>
      <c r="W200" s="4">
        <f>IF(AND($AB200=1,Processed_Data!C200="Maria.B"),Processed_Data!J200,NA())</f>
        <v>56990</v>
      </c>
      <c r="X200" s="8">
        <f>IF(AND($AB200=1,Processed_Data!C200="Maria.B"),Processed_Data!L200/100,NA())</f>
        <v>0</v>
      </c>
      <c r="Y200" s="4" t="e">
        <f>IF(AND($AB200=1,Processed_Data!C200="Sana Safinaz"),Processed_Data!J200,NA())</f>
        <v>#N/A</v>
      </c>
      <c r="Z200" s="8" t="e">
        <f>IF(AND($AB200=1,Processed_Data!C200="Sana Safinaz"),Processed_Data!L200/100,NA())</f>
        <v>#N/A</v>
      </c>
      <c r="AB200">
        <f>--AND(OR($B$2="All",Processed_Data!C200=$B$2),OR($B$3="All",Processed_Data!F200=$B$3),OR($B$4="All",Processed_Data!G200=$B$4),OR($B$5="All",Processed_Data!H200=$B$5),OR($B$6="All",Processed_Data!R200=$B$6),OR($B$7="All",Processed_Data!N200=$B$7))</f>
        <v>1</v>
      </c>
      <c r="AC200">
        <f>IF($AB200=1,Processed_Data!J200,"")</f>
        <v>56990</v>
      </c>
      <c r="AD200">
        <f>IF($AB200=1,Processed_Data!L200,0)</f>
        <v>0</v>
      </c>
      <c r="AE200">
        <f>IF($AB200=1,--(Processed_Data!M200="On Sale"),0)</f>
        <v>0</v>
      </c>
      <c r="AF200" t="str">
        <f>IF(AND($AB200=1,Processed_Data!C200="J."),Processed_Data!J200,"")</f>
        <v/>
      </c>
      <c r="AG200">
        <f>IF(AND($AB200=1,Processed_Data!C200="Maria.B"),Processed_Data!J200,"")</f>
        <v>56990</v>
      </c>
      <c r="AH200" t="str">
        <f>IF(AND($AB200=1,Processed_Data!C200="Sana Safinaz"),Processed_Data!J200,"")</f>
        <v/>
      </c>
      <c r="AI200">
        <f>IF(AND($AB200=1,Processed_Data!C200="J."),Processed_Data!L200,0)</f>
        <v>0</v>
      </c>
      <c r="AJ200">
        <f>IF(AND($AB200=1,Processed_Data!C200="Maria.B"),Processed_Data!L200,0)</f>
        <v>0</v>
      </c>
      <c r="AK200">
        <f>IF(AND($AB200=1,Processed_Data!C200="Sana Safinaz"),Processed_Data!L200,0)</f>
        <v>0</v>
      </c>
    </row>
    <row r="201" spans="21:37">
      <c r="U201" s="4" t="e">
        <f>IF(AND($AB201=1,Processed_Data!C201="J."),Processed_Data!J201,NA())</f>
        <v>#N/A</v>
      </c>
      <c r="V201" s="8" t="e">
        <f>IF(AND($AB201=1,Processed_Data!C201="J."),Processed_Data!L201/100,NA())</f>
        <v>#N/A</v>
      </c>
      <c r="W201" s="4">
        <f>IF(AND($AB201=1,Processed_Data!C201="Maria.B"),Processed_Data!J201,NA())</f>
        <v>56990</v>
      </c>
      <c r="X201" s="8">
        <f>IF(AND($AB201=1,Processed_Data!C201="Maria.B"),Processed_Data!L201/100,NA())</f>
        <v>0</v>
      </c>
      <c r="Y201" s="4" t="e">
        <f>IF(AND($AB201=1,Processed_Data!C201="Sana Safinaz"),Processed_Data!J201,NA())</f>
        <v>#N/A</v>
      </c>
      <c r="Z201" s="8" t="e">
        <f>IF(AND($AB201=1,Processed_Data!C201="Sana Safinaz"),Processed_Data!L201/100,NA())</f>
        <v>#N/A</v>
      </c>
      <c r="AB201">
        <f>--AND(OR($B$2="All",Processed_Data!C201=$B$2),OR($B$3="All",Processed_Data!F201=$B$3),OR($B$4="All",Processed_Data!G201=$B$4),OR($B$5="All",Processed_Data!H201=$B$5),OR($B$6="All",Processed_Data!R201=$B$6),OR($B$7="All",Processed_Data!N201=$B$7))</f>
        <v>1</v>
      </c>
      <c r="AC201">
        <f>IF($AB201=1,Processed_Data!J201,"")</f>
        <v>56990</v>
      </c>
      <c r="AD201">
        <f>IF($AB201=1,Processed_Data!L201,0)</f>
        <v>0</v>
      </c>
      <c r="AE201">
        <f>IF($AB201=1,--(Processed_Data!M201="On Sale"),0)</f>
        <v>0</v>
      </c>
      <c r="AF201" t="str">
        <f>IF(AND($AB201=1,Processed_Data!C201="J."),Processed_Data!J201,"")</f>
        <v/>
      </c>
      <c r="AG201">
        <f>IF(AND($AB201=1,Processed_Data!C201="Maria.B"),Processed_Data!J201,"")</f>
        <v>56990</v>
      </c>
      <c r="AH201" t="str">
        <f>IF(AND($AB201=1,Processed_Data!C201="Sana Safinaz"),Processed_Data!J201,"")</f>
        <v/>
      </c>
      <c r="AI201">
        <f>IF(AND($AB201=1,Processed_Data!C201="J."),Processed_Data!L201,0)</f>
        <v>0</v>
      </c>
      <c r="AJ201">
        <f>IF(AND($AB201=1,Processed_Data!C201="Maria.B"),Processed_Data!L201,0)</f>
        <v>0</v>
      </c>
      <c r="AK201">
        <f>IF(AND($AB201=1,Processed_Data!C201="Sana Safinaz"),Processed_Data!L201,0)</f>
        <v>0</v>
      </c>
    </row>
    <row r="202" spans="21:37">
      <c r="U202" s="4" t="e">
        <f>IF(AND($AB202=1,Processed_Data!C202="J."),Processed_Data!J202,NA())</f>
        <v>#N/A</v>
      </c>
      <c r="V202" s="8" t="e">
        <f>IF(AND($AB202=1,Processed_Data!C202="J."),Processed_Data!L202/100,NA())</f>
        <v>#N/A</v>
      </c>
      <c r="W202" s="4" t="e">
        <f>IF(AND($AB202=1,Processed_Data!C202="Maria.B"),Processed_Data!J202,NA())</f>
        <v>#N/A</v>
      </c>
      <c r="X202" s="8" t="e">
        <f>IF(AND($AB202=1,Processed_Data!C202="Maria.B"),Processed_Data!L202/100,NA())</f>
        <v>#N/A</v>
      </c>
      <c r="Y202" s="4">
        <f>IF(AND($AB202=1,Processed_Data!C202="Sana Safinaz"),Processed_Data!J202,NA())</f>
        <v>4499</v>
      </c>
      <c r="Z202" s="8">
        <f>IF(AND($AB202=1,Processed_Data!C202="Sana Safinaz"),Processed_Data!L202/100,NA())</f>
        <v>0</v>
      </c>
      <c r="AB202">
        <f>--AND(OR($B$2="All",Processed_Data!C202=$B$2),OR($B$3="All",Processed_Data!F202=$B$3),OR($B$4="All",Processed_Data!G202=$B$4),OR($B$5="All",Processed_Data!H202=$B$5),OR($B$6="All",Processed_Data!R202=$B$6),OR($B$7="All",Processed_Data!N202=$B$7))</f>
        <v>1</v>
      </c>
      <c r="AC202">
        <f>IF($AB202=1,Processed_Data!J202,"")</f>
        <v>4499</v>
      </c>
      <c r="AD202">
        <f>IF($AB202=1,Processed_Data!L202,0)</f>
        <v>0</v>
      </c>
      <c r="AE202">
        <f>IF($AB202=1,--(Processed_Data!M202="On Sale"),0)</f>
        <v>0</v>
      </c>
      <c r="AF202" t="str">
        <f>IF(AND($AB202=1,Processed_Data!C202="J."),Processed_Data!J202,"")</f>
        <v/>
      </c>
      <c r="AG202" t="str">
        <f>IF(AND($AB202=1,Processed_Data!C202="Maria.B"),Processed_Data!J202,"")</f>
        <v/>
      </c>
      <c r="AH202">
        <f>IF(AND($AB202=1,Processed_Data!C202="Sana Safinaz"),Processed_Data!J202,"")</f>
        <v>4499</v>
      </c>
      <c r="AI202">
        <f>IF(AND($AB202=1,Processed_Data!C202="J."),Processed_Data!L202,0)</f>
        <v>0</v>
      </c>
      <c r="AJ202">
        <f>IF(AND($AB202=1,Processed_Data!C202="Maria.B"),Processed_Data!L202,0)</f>
        <v>0</v>
      </c>
      <c r="AK202">
        <f>IF(AND($AB202=1,Processed_Data!C202="Sana Safinaz"),Processed_Data!L202,0)</f>
        <v>0</v>
      </c>
    </row>
    <row r="203" spans="21:37">
      <c r="U203" s="4" t="e">
        <f>IF(AND($AB203=1,Processed_Data!C203="J."),Processed_Data!J203,NA())</f>
        <v>#N/A</v>
      </c>
      <c r="V203" s="8" t="e">
        <f>IF(AND($AB203=1,Processed_Data!C203="J."),Processed_Data!L203/100,NA())</f>
        <v>#N/A</v>
      </c>
      <c r="W203" s="4" t="e">
        <f>IF(AND($AB203=1,Processed_Data!C203="Maria.B"),Processed_Data!J203,NA())</f>
        <v>#N/A</v>
      </c>
      <c r="X203" s="8" t="e">
        <f>IF(AND($AB203=1,Processed_Data!C203="Maria.B"),Processed_Data!L203/100,NA())</f>
        <v>#N/A</v>
      </c>
      <c r="Y203" s="4">
        <f>IF(AND($AB203=1,Processed_Data!C203="Sana Safinaz"),Processed_Data!J203,NA())</f>
        <v>4499</v>
      </c>
      <c r="Z203" s="8">
        <f>IF(AND($AB203=1,Processed_Data!C203="Sana Safinaz"),Processed_Data!L203/100,NA())</f>
        <v>0</v>
      </c>
      <c r="AB203">
        <f>--AND(OR($B$2="All",Processed_Data!C203=$B$2),OR($B$3="All",Processed_Data!F203=$B$3),OR($B$4="All",Processed_Data!G203=$B$4),OR($B$5="All",Processed_Data!H203=$B$5),OR($B$6="All",Processed_Data!R203=$B$6),OR($B$7="All",Processed_Data!N203=$B$7))</f>
        <v>1</v>
      </c>
      <c r="AC203">
        <f>IF($AB203=1,Processed_Data!J203,"")</f>
        <v>4499</v>
      </c>
      <c r="AD203">
        <f>IF($AB203=1,Processed_Data!L203,0)</f>
        <v>0</v>
      </c>
      <c r="AE203">
        <f>IF($AB203=1,--(Processed_Data!M203="On Sale"),0)</f>
        <v>0</v>
      </c>
      <c r="AF203" t="str">
        <f>IF(AND($AB203=1,Processed_Data!C203="J."),Processed_Data!J203,"")</f>
        <v/>
      </c>
      <c r="AG203" t="str">
        <f>IF(AND($AB203=1,Processed_Data!C203="Maria.B"),Processed_Data!J203,"")</f>
        <v/>
      </c>
      <c r="AH203">
        <f>IF(AND($AB203=1,Processed_Data!C203="Sana Safinaz"),Processed_Data!J203,"")</f>
        <v>4499</v>
      </c>
      <c r="AI203">
        <f>IF(AND($AB203=1,Processed_Data!C203="J."),Processed_Data!L203,0)</f>
        <v>0</v>
      </c>
      <c r="AJ203">
        <f>IF(AND($AB203=1,Processed_Data!C203="Maria.B"),Processed_Data!L203,0)</f>
        <v>0</v>
      </c>
      <c r="AK203">
        <f>IF(AND($AB203=1,Processed_Data!C203="Sana Safinaz"),Processed_Data!L203,0)</f>
        <v>0</v>
      </c>
    </row>
    <row r="204" spans="21:37">
      <c r="U204" s="4" t="e">
        <f>IF(AND($AB204=1,Processed_Data!C204="J."),Processed_Data!J204,NA())</f>
        <v>#N/A</v>
      </c>
      <c r="V204" s="8" t="e">
        <f>IF(AND($AB204=1,Processed_Data!C204="J."),Processed_Data!L204/100,NA())</f>
        <v>#N/A</v>
      </c>
      <c r="W204" s="4" t="e">
        <f>IF(AND($AB204=1,Processed_Data!C204="Maria.B"),Processed_Data!J204,NA())</f>
        <v>#N/A</v>
      </c>
      <c r="X204" s="8" t="e">
        <f>IF(AND($AB204=1,Processed_Data!C204="Maria.B"),Processed_Data!L204/100,NA())</f>
        <v>#N/A</v>
      </c>
      <c r="Y204" s="4">
        <f>IF(AND($AB204=1,Processed_Data!C204="Sana Safinaz"),Processed_Data!J204,NA())</f>
        <v>4499</v>
      </c>
      <c r="Z204" s="8">
        <f>IF(AND($AB204=1,Processed_Data!C204="Sana Safinaz"),Processed_Data!L204/100,NA())</f>
        <v>0</v>
      </c>
      <c r="AB204">
        <f>--AND(OR($B$2="All",Processed_Data!C204=$B$2),OR($B$3="All",Processed_Data!F204=$B$3),OR($B$4="All",Processed_Data!G204=$B$4),OR($B$5="All",Processed_Data!H204=$B$5),OR($B$6="All",Processed_Data!R204=$B$6),OR($B$7="All",Processed_Data!N204=$B$7))</f>
        <v>1</v>
      </c>
      <c r="AC204">
        <f>IF($AB204=1,Processed_Data!J204,"")</f>
        <v>4499</v>
      </c>
      <c r="AD204">
        <f>IF($AB204=1,Processed_Data!L204,0)</f>
        <v>0</v>
      </c>
      <c r="AE204">
        <f>IF($AB204=1,--(Processed_Data!M204="On Sale"),0)</f>
        <v>0</v>
      </c>
      <c r="AF204" t="str">
        <f>IF(AND($AB204=1,Processed_Data!C204="J."),Processed_Data!J204,"")</f>
        <v/>
      </c>
      <c r="AG204" t="str">
        <f>IF(AND($AB204=1,Processed_Data!C204="Maria.B"),Processed_Data!J204,"")</f>
        <v/>
      </c>
      <c r="AH204">
        <f>IF(AND($AB204=1,Processed_Data!C204="Sana Safinaz"),Processed_Data!J204,"")</f>
        <v>4499</v>
      </c>
      <c r="AI204">
        <f>IF(AND($AB204=1,Processed_Data!C204="J."),Processed_Data!L204,0)</f>
        <v>0</v>
      </c>
      <c r="AJ204">
        <f>IF(AND($AB204=1,Processed_Data!C204="Maria.B"),Processed_Data!L204,0)</f>
        <v>0</v>
      </c>
      <c r="AK204">
        <f>IF(AND($AB204=1,Processed_Data!C204="Sana Safinaz"),Processed_Data!L204,0)</f>
        <v>0</v>
      </c>
    </row>
    <row r="205" spans="21:37">
      <c r="U205" s="4" t="e">
        <f>IF(AND($AB205=1,Processed_Data!C205="J."),Processed_Data!J205,NA())</f>
        <v>#N/A</v>
      </c>
      <c r="V205" s="8" t="e">
        <f>IF(AND($AB205=1,Processed_Data!C205="J."),Processed_Data!L205/100,NA())</f>
        <v>#N/A</v>
      </c>
      <c r="W205" s="4" t="e">
        <f>IF(AND($AB205=1,Processed_Data!C205="Maria.B"),Processed_Data!J205,NA())</f>
        <v>#N/A</v>
      </c>
      <c r="X205" s="8" t="e">
        <f>IF(AND($AB205=1,Processed_Data!C205="Maria.B"),Processed_Data!L205/100,NA())</f>
        <v>#N/A</v>
      </c>
      <c r="Y205" s="4">
        <f>IF(AND($AB205=1,Processed_Data!C205="Sana Safinaz"),Processed_Data!J205,NA())</f>
        <v>4499</v>
      </c>
      <c r="Z205" s="8">
        <f>IF(AND($AB205=1,Processed_Data!C205="Sana Safinaz"),Processed_Data!L205/100,NA())</f>
        <v>0</v>
      </c>
      <c r="AB205">
        <f>--AND(OR($B$2="All",Processed_Data!C205=$B$2),OR($B$3="All",Processed_Data!F205=$B$3),OR($B$4="All",Processed_Data!G205=$B$4),OR($B$5="All",Processed_Data!H205=$B$5),OR($B$6="All",Processed_Data!R205=$B$6),OR($B$7="All",Processed_Data!N205=$B$7))</f>
        <v>1</v>
      </c>
      <c r="AC205">
        <f>IF($AB205=1,Processed_Data!J205,"")</f>
        <v>4499</v>
      </c>
      <c r="AD205">
        <f>IF($AB205=1,Processed_Data!L205,0)</f>
        <v>0</v>
      </c>
      <c r="AE205">
        <f>IF($AB205=1,--(Processed_Data!M205="On Sale"),0)</f>
        <v>0</v>
      </c>
      <c r="AF205" t="str">
        <f>IF(AND($AB205=1,Processed_Data!C205="J."),Processed_Data!J205,"")</f>
        <v/>
      </c>
      <c r="AG205" t="str">
        <f>IF(AND($AB205=1,Processed_Data!C205="Maria.B"),Processed_Data!J205,"")</f>
        <v/>
      </c>
      <c r="AH205">
        <f>IF(AND($AB205=1,Processed_Data!C205="Sana Safinaz"),Processed_Data!J205,"")</f>
        <v>4499</v>
      </c>
      <c r="AI205">
        <f>IF(AND($AB205=1,Processed_Data!C205="J."),Processed_Data!L205,0)</f>
        <v>0</v>
      </c>
      <c r="AJ205">
        <f>IF(AND($AB205=1,Processed_Data!C205="Maria.B"),Processed_Data!L205,0)</f>
        <v>0</v>
      </c>
      <c r="AK205">
        <f>IF(AND($AB205=1,Processed_Data!C205="Sana Safinaz"),Processed_Data!L205,0)</f>
        <v>0</v>
      </c>
    </row>
    <row r="206" spans="21:37">
      <c r="U206" s="4" t="e">
        <f>IF(AND($AB206=1,Processed_Data!C206="J."),Processed_Data!J206,NA())</f>
        <v>#N/A</v>
      </c>
      <c r="V206" s="8" t="e">
        <f>IF(AND($AB206=1,Processed_Data!C206="J."),Processed_Data!L206/100,NA())</f>
        <v>#N/A</v>
      </c>
      <c r="W206" s="4" t="e">
        <f>IF(AND($AB206=1,Processed_Data!C206="Maria.B"),Processed_Data!J206,NA())</f>
        <v>#N/A</v>
      </c>
      <c r="X206" s="8" t="e">
        <f>IF(AND($AB206=1,Processed_Data!C206="Maria.B"),Processed_Data!L206/100,NA())</f>
        <v>#N/A</v>
      </c>
      <c r="Y206" s="4">
        <f>IF(AND($AB206=1,Processed_Data!C206="Sana Safinaz"),Processed_Data!J206,NA())</f>
        <v>4499</v>
      </c>
      <c r="Z206" s="8">
        <f>IF(AND($AB206=1,Processed_Data!C206="Sana Safinaz"),Processed_Data!L206/100,NA())</f>
        <v>0</v>
      </c>
      <c r="AB206">
        <f>--AND(OR($B$2="All",Processed_Data!C206=$B$2),OR($B$3="All",Processed_Data!F206=$B$3),OR($B$4="All",Processed_Data!G206=$B$4),OR($B$5="All",Processed_Data!H206=$B$5),OR($B$6="All",Processed_Data!R206=$B$6),OR($B$7="All",Processed_Data!N206=$B$7))</f>
        <v>1</v>
      </c>
      <c r="AC206">
        <f>IF($AB206=1,Processed_Data!J206,"")</f>
        <v>4499</v>
      </c>
      <c r="AD206">
        <f>IF($AB206=1,Processed_Data!L206,0)</f>
        <v>0</v>
      </c>
      <c r="AE206">
        <f>IF($AB206=1,--(Processed_Data!M206="On Sale"),0)</f>
        <v>0</v>
      </c>
      <c r="AF206" t="str">
        <f>IF(AND($AB206=1,Processed_Data!C206="J."),Processed_Data!J206,"")</f>
        <v/>
      </c>
      <c r="AG206" t="str">
        <f>IF(AND($AB206=1,Processed_Data!C206="Maria.B"),Processed_Data!J206,"")</f>
        <v/>
      </c>
      <c r="AH206">
        <f>IF(AND($AB206=1,Processed_Data!C206="Sana Safinaz"),Processed_Data!J206,"")</f>
        <v>4499</v>
      </c>
      <c r="AI206">
        <f>IF(AND($AB206=1,Processed_Data!C206="J."),Processed_Data!L206,0)</f>
        <v>0</v>
      </c>
      <c r="AJ206">
        <f>IF(AND($AB206=1,Processed_Data!C206="Maria.B"),Processed_Data!L206,0)</f>
        <v>0</v>
      </c>
      <c r="AK206">
        <f>IF(AND($AB206=1,Processed_Data!C206="Sana Safinaz"),Processed_Data!L206,0)</f>
        <v>0</v>
      </c>
    </row>
    <row r="207" spans="21:37">
      <c r="U207" s="4" t="e">
        <f>IF(AND($AB207=1,Processed_Data!C207="J."),Processed_Data!J207,NA())</f>
        <v>#N/A</v>
      </c>
      <c r="V207" s="8" t="e">
        <f>IF(AND($AB207=1,Processed_Data!C207="J."),Processed_Data!L207/100,NA())</f>
        <v>#N/A</v>
      </c>
      <c r="W207" s="4" t="e">
        <f>IF(AND($AB207=1,Processed_Data!C207="Maria.B"),Processed_Data!J207,NA())</f>
        <v>#N/A</v>
      </c>
      <c r="X207" s="8" t="e">
        <f>IF(AND($AB207=1,Processed_Data!C207="Maria.B"),Processed_Data!L207/100,NA())</f>
        <v>#N/A</v>
      </c>
      <c r="Y207" s="4">
        <f>IF(AND($AB207=1,Processed_Data!C207="Sana Safinaz"),Processed_Data!J207,NA())</f>
        <v>4499</v>
      </c>
      <c r="Z207" s="8">
        <f>IF(AND($AB207=1,Processed_Data!C207="Sana Safinaz"),Processed_Data!L207/100,NA())</f>
        <v>0</v>
      </c>
      <c r="AB207">
        <f>--AND(OR($B$2="All",Processed_Data!C207=$B$2),OR($B$3="All",Processed_Data!F207=$B$3),OR($B$4="All",Processed_Data!G207=$B$4),OR($B$5="All",Processed_Data!H207=$B$5),OR($B$6="All",Processed_Data!R207=$B$6),OR($B$7="All",Processed_Data!N207=$B$7))</f>
        <v>1</v>
      </c>
      <c r="AC207">
        <f>IF($AB207=1,Processed_Data!J207,"")</f>
        <v>4499</v>
      </c>
      <c r="AD207">
        <f>IF($AB207=1,Processed_Data!L207,0)</f>
        <v>0</v>
      </c>
      <c r="AE207">
        <f>IF($AB207=1,--(Processed_Data!M207="On Sale"),0)</f>
        <v>0</v>
      </c>
      <c r="AF207" t="str">
        <f>IF(AND($AB207=1,Processed_Data!C207="J."),Processed_Data!J207,"")</f>
        <v/>
      </c>
      <c r="AG207" t="str">
        <f>IF(AND($AB207=1,Processed_Data!C207="Maria.B"),Processed_Data!J207,"")</f>
        <v/>
      </c>
      <c r="AH207">
        <f>IF(AND($AB207=1,Processed_Data!C207="Sana Safinaz"),Processed_Data!J207,"")</f>
        <v>4499</v>
      </c>
      <c r="AI207">
        <f>IF(AND($AB207=1,Processed_Data!C207="J."),Processed_Data!L207,0)</f>
        <v>0</v>
      </c>
      <c r="AJ207">
        <f>IF(AND($AB207=1,Processed_Data!C207="Maria.B"),Processed_Data!L207,0)</f>
        <v>0</v>
      </c>
      <c r="AK207">
        <f>IF(AND($AB207=1,Processed_Data!C207="Sana Safinaz"),Processed_Data!L207,0)</f>
        <v>0</v>
      </c>
    </row>
    <row r="208" spans="21:37">
      <c r="U208" s="4" t="e">
        <f>IF(AND($AB208=1,Processed_Data!C208="J."),Processed_Data!J208,NA())</f>
        <v>#N/A</v>
      </c>
      <c r="V208" s="8" t="e">
        <f>IF(AND($AB208=1,Processed_Data!C208="J."),Processed_Data!L208/100,NA())</f>
        <v>#N/A</v>
      </c>
      <c r="W208" s="4" t="e">
        <f>IF(AND($AB208=1,Processed_Data!C208="Maria.B"),Processed_Data!J208,NA())</f>
        <v>#N/A</v>
      </c>
      <c r="X208" s="8" t="e">
        <f>IF(AND($AB208=1,Processed_Data!C208="Maria.B"),Processed_Data!L208/100,NA())</f>
        <v>#N/A</v>
      </c>
      <c r="Y208" s="4">
        <f>IF(AND($AB208=1,Processed_Data!C208="Sana Safinaz"),Processed_Data!J208,NA())</f>
        <v>4499</v>
      </c>
      <c r="Z208" s="8">
        <f>IF(AND($AB208=1,Processed_Data!C208="Sana Safinaz"),Processed_Data!L208/100,NA())</f>
        <v>0</v>
      </c>
      <c r="AB208">
        <f>--AND(OR($B$2="All",Processed_Data!C208=$B$2),OR($B$3="All",Processed_Data!F208=$B$3),OR($B$4="All",Processed_Data!G208=$B$4),OR($B$5="All",Processed_Data!H208=$B$5),OR($B$6="All",Processed_Data!R208=$B$6),OR($B$7="All",Processed_Data!N208=$B$7))</f>
        <v>1</v>
      </c>
      <c r="AC208">
        <f>IF($AB208=1,Processed_Data!J208,"")</f>
        <v>4499</v>
      </c>
      <c r="AD208">
        <f>IF($AB208=1,Processed_Data!L208,0)</f>
        <v>0</v>
      </c>
      <c r="AE208">
        <f>IF($AB208=1,--(Processed_Data!M208="On Sale"),0)</f>
        <v>0</v>
      </c>
      <c r="AF208" t="str">
        <f>IF(AND($AB208=1,Processed_Data!C208="J."),Processed_Data!J208,"")</f>
        <v/>
      </c>
      <c r="AG208" t="str">
        <f>IF(AND($AB208=1,Processed_Data!C208="Maria.B"),Processed_Data!J208,"")</f>
        <v/>
      </c>
      <c r="AH208">
        <f>IF(AND($AB208=1,Processed_Data!C208="Sana Safinaz"),Processed_Data!J208,"")</f>
        <v>4499</v>
      </c>
      <c r="AI208">
        <f>IF(AND($AB208=1,Processed_Data!C208="J."),Processed_Data!L208,0)</f>
        <v>0</v>
      </c>
      <c r="AJ208">
        <f>IF(AND($AB208=1,Processed_Data!C208="Maria.B"),Processed_Data!L208,0)</f>
        <v>0</v>
      </c>
      <c r="AK208">
        <f>IF(AND($AB208=1,Processed_Data!C208="Sana Safinaz"),Processed_Data!L208,0)</f>
        <v>0</v>
      </c>
    </row>
    <row r="209" spans="21:37">
      <c r="U209" s="4" t="e">
        <f>IF(AND($AB209=1,Processed_Data!C209="J."),Processed_Data!J209,NA())</f>
        <v>#N/A</v>
      </c>
      <c r="V209" s="8" t="e">
        <f>IF(AND($AB209=1,Processed_Data!C209="J."),Processed_Data!L209/100,NA())</f>
        <v>#N/A</v>
      </c>
      <c r="W209" s="4" t="e">
        <f>IF(AND($AB209=1,Processed_Data!C209="Maria.B"),Processed_Data!J209,NA())</f>
        <v>#N/A</v>
      </c>
      <c r="X209" s="8" t="e">
        <f>IF(AND($AB209=1,Processed_Data!C209="Maria.B"),Processed_Data!L209/100,NA())</f>
        <v>#N/A</v>
      </c>
      <c r="Y209" s="4">
        <f>IF(AND($AB209=1,Processed_Data!C209="Sana Safinaz"),Processed_Data!J209,NA())</f>
        <v>4499</v>
      </c>
      <c r="Z209" s="8">
        <f>IF(AND($AB209=1,Processed_Data!C209="Sana Safinaz"),Processed_Data!L209/100,NA())</f>
        <v>0</v>
      </c>
      <c r="AB209">
        <f>--AND(OR($B$2="All",Processed_Data!C209=$B$2),OR($B$3="All",Processed_Data!F209=$B$3),OR($B$4="All",Processed_Data!G209=$B$4),OR($B$5="All",Processed_Data!H209=$B$5),OR($B$6="All",Processed_Data!R209=$B$6),OR($B$7="All",Processed_Data!N209=$B$7))</f>
        <v>1</v>
      </c>
      <c r="AC209">
        <f>IF($AB209=1,Processed_Data!J209,"")</f>
        <v>4499</v>
      </c>
      <c r="AD209">
        <f>IF($AB209=1,Processed_Data!L209,0)</f>
        <v>0</v>
      </c>
      <c r="AE209">
        <f>IF($AB209=1,--(Processed_Data!M209="On Sale"),0)</f>
        <v>0</v>
      </c>
      <c r="AF209" t="str">
        <f>IF(AND($AB209=1,Processed_Data!C209="J."),Processed_Data!J209,"")</f>
        <v/>
      </c>
      <c r="AG209" t="str">
        <f>IF(AND($AB209=1,Processed_Data!C209="Maria.B"),Processed_Data!J209,"")</f>
        <v/>
      </c>
      <c r="AH209">
        <f>IF(AND($AB209=1,Processed_Data!C209="Sana Safinaz"),Processed_Data!J209,"")</f>
        <v>4499</v>
      </c>
      <c r="AI209">
        <f>IF(AND($AB209=1,Processed_Data!C209="J."),Processed_Data!L209,0)</f>
        <v>0</v>
      </c>
      <c r="AJ209">
        <f>IF(AND($AB209=1,Processed_Data!C209="Maria.B"),Processed_Data!L209,0)</f>
        <v>0</v>
      </c>
      <c r="AK209">
        <f>IF(AND($AB209=1,Processed_Data!C209="Sana Safinaz"),Processed_Data!L209,0)</f>
        <v>0</v>
      </c>
    </row>
    <row r="210" spans="21:37">
      <c r="U210" s="4" t="e">
        <f>IF(AND($AB210=1,Processed_Data!C210="J."),Processed_Data!J210,NA())</f>
        <v>#N/A</v>
      </c>
      <c r="V210" s="8" t="e">
        <f>IF(AND($AB210=1,Processed_Data!C210="J."),Processed_Data!L210/100,NA())</f>
        <v>#N/A</v>
      </c>
      <c r="W210" s="4" t="e">
        <f>IF(AND($AB210=1,Processed_Data!C210="Maria.B"),Processed_Data!J210,NA())</f>
        <v>#N/A</v>
      </c>
      <c r="X210" s="8" t="e">
        <f>IF(AND($AB210=1,Processed_Data!C210="Maria.B"),Processed_Data!L210/100,NA())</f>
        <v>#N/A</v>
      </c>
      <c r="Y210" s="4">
        <f>IF(AND($AB210=1,Processed_Data!C210="Sana Safinaz"),Processed_Data!J210,NA())</f>
        <v>2999</v>
      </c>
      <c r="Z210" s="8">
        <f>IF(AND($AB210=1,Processed_Data!C210="Sana Safinaz"),Processed_Data!L210/100,NA())</f>
        <v>0</v>
      </c>
      <c r="AB210">
        <f>--AND(OR($B$2="All",Processed_Data!C210=$B$2),OR($B$3="All",Processed_Data!F210=$B$3),OR($B$4="All",Processed_Data!G210=$B$4),OR($B$5="All",Processed_Data!H210=$B$5),OR($B$6="All",Processed_Data!R210=$B$6),OR($B$7="All",Processed_Data!N210=$B$7))</f>
        <v>1</v>
      </c>
      <c r="AC210">
        <f>IF($AB210=1,Processed_Data!J210,"")</f>
        <v>2999</v>
      </c>
      <c r="AD210">
        <f>IF($AB210=1,Processed_Data!L210,0)</f>
        <v>0</v>
      </c>
      <c r="AE210">
        <f>IF($AB210=1,--(Processed_Data!M210="On Sale"),0)</f>
        <v>0</v>
      </c>
      <c r="AF210" t="str">
        <f>IF(AND($AB210=1,Processed_Data!C210="J."),Processed_Data!J210,"")</f>
        <v/>
      </c>
      <c r="AG210" t="str">
        <f>IF(AND($AB210=1,Processed_Data!C210="Maria.B"),Processed_Data!J210,"")</f>
        <v/>
      </c>
      <c r="AH210">
        <f>IF(AND($AB210=1,Processed_Data!C210="Sana Safinaz"),Processed_Data!J210,"")</f>
        <v>2999</v>
      </c>
      <c r="AI210">
        <f>IF(AND($AB210=1,Processed_Data!C210="J."),Processed_Data!L210,0)</f>
        <v>0</v>
      </c>
      <c r="AJ210">
        <f>IF(AND($AB210=1,Processed_Data!C210="Maria.B"),Processed_Data!L210,0)</f>
        <v>0</v>
      </c>
      <c r="AK210">
        <f>IF(AND($AB210=1,Processed_Data!C210="Sana Safinaz"),Processed_Data!L210,0)</f>
        <v>0</v>
      </c>
    </row>
    <row r="211" spans="21:37">
      <c r="U211" s="4" t="e">
        <f>IF(AND($AB211=1,Processed_Data!C211="J."),Processed_Data!J211,NA())</f>
        <v>#N/A</v>
      </c>
      <c r="V211" s="8" t="e">
        <f>IF(AND($AB211=1,Processed_Data!C211="J."),Processed_Data!L211/100,NA())</f>
        <v>#N/A</v>
      </c>
      <c r="W211" s="4" t="e">
        <f>IF(AND($AB211=1,Processed_Data!C211="Maria.B"),Processed_Data!J211,NA())</f>
        <v>#N/A</v>
      </c>
      <c r="X211" s="8" t="e">
        <f>IF(AND($AB211=1,Processed_Data!C211="Maria.B"),Processed_Data!L211/100,NA())</f>
        <v>#N/A</v>
      </c>
      <c r="Y211" s="4">
        <f>IF(AND($AB211=1,Processed_Data!C211="Sana Safinaz"),Processed_Data!J211,NA())</f>
        <v>2999</v>
      </c>
      <c r="Z211" s="8">
        <f>IF(AND($AB211=1,Processed_Data!C211="Sana Safinaz"),Processed_Data!L211/100,NA())</f>
        <v>0</v>
      </c>
      <c r="AB211">
        <f>--AND(OR($B$2="All",Processed_Data!C211=$B$2),OR($B$3="All",Processed_Data!F211=$B$3),OR($B$4="All",Processed_Data!G211=$B$4),OR($B$5="All",Processed_Data!H211=$B$5),OR($B$6="All",Processed_Data!R211=$B$6),OR($B$7="All",Processed_Data!N211=$B$7))</f>
        <v>1</v>
      </c>
      <c r="AC211">
        <f>IF($AB211=1,Processed_Data!J211,"")</f>
        <v>2999</v>
      </c>
      <c r="AD211">
        <f>IF($AB211=1,Processed_Data!L211,0)</f>
        <v>0</v>
      </c>
      <c r="AE211">
        <f>IF($AB211=1,--(Processed_Data!M211="On Sale"),0)</f>
        <v>0</v>
      </c>
      <c r="AF211" t="str">
        <f>IF(AND($AB211=1,Processed_Data!C211="J."),Processed_Data!J211,"")</f>
        <v/>
      </c>
      <c r="AG211" t="str">
        <f>IF(AND($AB211=1,Processed_Data!C211="Maria.B"),Processed_Data!J211,"")</f>
        <v/>
      </c>
      <c r="AH211">
        <f>IF(AND($AB211=1,Processed_Data!C211="Sana Safinaz"),Processed_Data!J211,"")</f>
        <v>2999</v>
      </c>
      <c r="AI211">
        <f>IF(AND($AB211=1,Processed_Data!C211="J."),Processed_Data!L211,0)</f>
        <v>0</v>
      </c>
      <c r="AJ211">
        <f>IF(AND($AB211=1,Processed_Data!C211="Maria.B"),Processed_Data!L211,0)</f>
        <v>0</v>
      </c>
      <c r="AK211">
        <f>IF(AND($AB211=1,Processed_Data!C211="Sana Safinaz"),Processed_Data!L211,0)</f>
        <v>0</v>
      </c>
    </row>
    <row r="212" spans="21:37">
      <c r="U212" s="4" t="e">
        <f>IF(AND($AB212=1,Processed_Data!C212="J."),Processed_Data!J212,NA())</f>
        <v>#N/A</v>
      </c>
      <c r="V212" s="8" t="e">
        <f>IF(AND($AB212=1,Processed_Data!C212="J."),Processed_Data!L212/100,NA())</f>
        <v>#N/A</v>
      </c>
      <c r="W212" s="4" t="e">
        <f>IF(AND($AB212=1,Processed_Data!C212="Maria.B"),Processed_Data!J212,NA())</f>
        <v>#N/A</v>
      </c>
      <c r="X212" s="8" t="e">
        <f>IF(AND($AB212=1,Processed_Data!C212="Maria.B"),Processed_Data!L212/100,NA())</f>
        <v>#N/A</v>
      </c>
      <c r="Y212" s="4">
        <f>IF(AND($AB212=1,Processed_Data!C212="Sana Safinaz"),Processed_Data!J212,NA())</f>
        <v>2999</v>
      </c>
      <c r="Z212" s="8">
        <f>IF(AND($AB212=1,Processed_Data!C212="Sana Safinaz"),Processed_Data!L212/100,NA())</f>
        <v>0</v>
      </c>
      <c r="AB212">
        <f>--AND(OR($B$2="All",Processed_Data!C212=$B$2),OR($B$3="All",Processed_Data!F212=$B$3),OR($B$4="All",Processed_Data!G212=$B$4),OR($B$5="All",Processed_Data!H212=$B$5),OR($B$6="All",Processed_Data!R212=$B$6),OR($B$7="All",Processed_Data!N212=$B$7))</f>
        <v>1</v>
      </c>
      <c r="AC212">
        <f>IF($AB212=1,Processed_Data!J212,"")</f>
        <v>2999</v>
      </c>
      <c r="AD212">
        <f>IF($AB212=1,Processed_Data!L212,0)</f>
        <v>0</v>
      </c>
      <c r="AE212">
        <f>IF($AB212=1,--(Processed_Data!M212="On Sale"),0)</f>
        <v>0</v>
      </c>
      <c r="AF212" t="str">
        <f>IF(AND($AB212=1,Processed_Data!C212="J."),Processed_Data!J212,"")</f>
        <v/>
      </c>
      <c r="AG212" t="str">
        <f>IF(AND($AB212=1,Processed_Data!C212="Maria.B"),Processed_Data!J212,"")</f>
        <v/>
      </c>
      <c r="AH212">
        <f>IF(AND($AB212=1,Processed_Data!C212="Sana Safinaz"),Processed_Data!J212,"")</f>
        <v>2999</v>
      </c>
      <c r="AI212">
        <f>IF(AND($AB212=1,Processed_Data!C212="J."),Processed_Data!L212,0)</f>
        <v>0</v>
      </c>
      <c r="AJ212">
        <f>IF(AND($AB212=1,Processed_Data!C212="Maria.B"),Processed_Data!L212,0)</f>
        <v>0</v>
      </c>
      <c r="AK212">
        <f>IF(AND($AB212=1,Processed_Data!C212="Sana Safinaz"),Processed_Data!L212,0)</f>
        <v>0</v>
      </c>
    </row>
    <row r="213" spans="21:37">
      <c r="U213" s="4" t="e">
        <f>IF(AND($AB213=1,Processed_Data!C213="J."),Processed_Data!J213,NA())</f>
        <v>#N/A</v>
      </c>
      <c r="V213" s="8" t="e">
        <f>IF(AND($AB213=1,Processed_Data!C213="J."),Processed_Data!L213/100,NA())</f>
        <v>#N/A</v>
      </c>
      <c r="W213" s="4" t="e">
        <f>IF(AND($AB213=1,Processed_Data!C213="Maria.B"),Processed_Data!J213,NA())</f>
        <v>#N/A</v>
      </c>
      <c r="X213" s="8" t="e">
        <f>IF(AND($AB213=1,Processed_Data!C213="Maria.B"),Processed_Data!L213/100,NA())</f>
        <v>#N/A</v>
      </c>
      <c r="Y213" s="4">
        <f>IF(AND($AB213=1,Processed_Data!C213="Sana Safinaz"),Processed_Data!J213,NA())</f>
        <v>2999</v>
      </c>
      <c r="Z213" s="8">
        <f>IF(AND($AB213=1,Processed_Data!C213="Sana Safinaz"),Processed_Data!L213/100,NA())</f>
        <v>0</v>
      </c>
      <c r="AB213">
        <f>--AND(OR($B$2="All",Processed_Data!C213=$B$2),OR($B$3="All",Processed_Data!F213=$B$3),OR($B$4="All",Processed_Data!G213=$B$4),OR($B$5="All",Processed_Data!H213=$B$5),OR($B$6="All",Processed_Data!R213=$B$6),OR($B$7="All",Processed_Data!N213=$B$7))</f>
        <v>1</v>
      </c>
      <c r="AC213">
        <f>IF($AB213=1,Processed_Data!J213,"")</f>
        <v>2999</v>
      </c>
      <c r="AD213">
        <f>IF($AB213=1,Processed_Data!L213,0)</f>
        <v>0</v>
      </c>
      <c r="AE213">
        <f>IF($AB213=1,--(Processed_Data!M213="On Sale"),0)</f>
        <v>0</v>
      </c>
      <c r="AF213" t="str">
        <f>IF(AND($AB213=1,Processed_Data!C213="J."),Processed_Data!J213,"")</f>
        <v/>
      </c>
      <c r="AG213" t="str">
        <f>IF(AND($AB213=1,Processed_Data!C213="Maria.B"),Processed_Data!J213,"")</f>
        <v/>
      </c>
      <c r="AH213">
        <f>IF(AND($AB213=1,Processed_Data!C213="Sana Safinaz"),Processed_Data!J213,"")</f>
        <v>2999</v>
      </c>
      <c r="AI213">
        <f>IF(AND($AB213=1,Processed_Data!C213="J."),Processed_Data!L213,0)</f>
        <v>0</v>
      </c>
      <c r="AJ213">
        <f>IF(AND($AB213=1,Processed_Data!C213="Maria.B"),Processed_Data!L213,0)</f>
        <v>0</v>
      </c>
      <c r="AK213">
        <f>IF(AND($AB213=1,Processed_Data!C213="Sana Safinaz"),Processed_Data!L213,0)</f>
        <v>0</v>
      </c>
    </row>
    <row r="214" spans="21:37">
      <c r="U214" s="4" t="e">
        <f>IF(AND($AB214=1,Processed_Data!C214="J."),Processed_Data!J214,NA())</f>
        <v>#N/A</v>
      </c>
      <c r="V214" s="8" t="e">
        <f>IF(AND($AB214=1,Processed_Data!C214="J."),Processed_Data!L214/100,NA())</f>
        <v>#N/A</v>
      </c>
      <c r="W214" s="4" t="e">
        <f>IF(AND($AB214=1,Processed_Data!C214="Maria.B"),Processed_Data!J214,NA())</f>
        <v>#N/A</v>
      </c>
      <c r="X214" s="8" t="e">
        <f>IF(AND($AB214=1,Processed_Data!C214="Maria.B"),Processed_Data!L214/100,NA())</f>
        <v>#N/A</v>
      </c>
      <c r="Y214" s="4">
        <f>IF(AND($AB214=1,Processed_Data!C214="Sana Safinaz"),Processed_Data!J214,NA())</f>
        <v>2999</v>
      </c>
      <c r="Z214" s="8">
        <f>IF(AND($AB214=1,Processed_Data!C214="Sana Safinaz"),Processed_Data!L214/100,NA())</f>
        <v>0</v>
      </c>
      <c r="AB214">
        <f>--AND(OR($B$2="All",Processed_Data!C214=$B$2),OR($B$3="All",Processed_Data!F214=$B$3),OR($B$4="All",Processed_Data!G214=$B$4),OR($B$5="All",Processed_Data!H214=$B$5),OR($B$6="All",Processed_Data!R214=$B$6),OR($B$7="All",Processed_Data!N214=$B$7))</f>
        <v>1</v>
      </c>
      <c r="AC214">
        <f>IF($AB214=1,Processed_Data!J214,"")</f>
        <v>2999</v>
      </c>
      <c r="AD214">
        <f>IF($AB214=1,Processed_Data!L214,0)</f>
        <v>0</v>
      </c>
      <c r="AE214">
        <f>IF($AB214=1,--(Processed_Data!M214="On Sale"),0)</f>
        <v>0</v>
      </c>
      <c r="AF214" t="str">
        <f>IF(AND($AB214=1,Processed_Data!C214="J."),Processed_Data!J214,"")</f>
        <v/>
      </c>
      <c r="AG214" t="str">
        <f>IF(AND($AB214=1,Processed_Data!C214="Maria.B"),Processed_Data!J214,"")</f>
        <v/>
      </c>
      <c r="AH214">
        <f>IF(AND($AB214=1,Processed_Data!C214="Sana Safinaz"),Processed_Data!J214,"")</f>
        <v>2999</v>
      </c>
      <c r="AI214">
        <f>IF(AND($AB214=1,Processed_Data!C214="J."),Processed_Data!L214,0)</f>
        <v>0</v>
      </c>
      <c r="AJ214">
        <f>IF(AND($AB214=1,Processed_Data!C214="Maria.B"),Processed_Data!L214,0)</f>
        <v>0</v>
      </c>
      <c r="AK214">
        <f>IF(AND($AB214=1,Processed_Data!C214="Sana Safinaz"),Processed_Data!L214,0)</f>
        <v>0</v>
      </c>
    </row>
    <row r="215" spans="21:37">
      <c r="U215" s="4" t="e">
        <f>IF(AND($AB215=1,Processed_Data!C215="J."),Processed_Data!J215,NA())</f>
        <v>#N/A</v>
      </c>
      <c r="V215" s="8" t="e">
        <f>IF(AND($AB215=1,Processed_Data!C215="J."),Processed_Data!L215/100,NA())</f>
        <v>#N/A</v>
      </c>
      <c r="W215" s="4" t="e">
        <f>IF(AND($AB215=1,Processed_Data!C215="Maria.B"),Processed_Data!J215,NA())</f>
        <v>#N/A</v>
      </c>
      <c r="X215" s="8" t="e">
        <f>IF(AND($AB215=1,Processed_Data!C215="Maria.B"),Processed_Data!L215/100,NA())</f>
        <v>#N/A</v>
      </c>
      <c r="Y215" s="4">
        <f>IF(AND($AB215=1,Processed_Data!C215="Sana Safinaz"),Processed_Data!J215,NA())</f>
        <v>4499</v>
      </c>
      <c r="Z215" s="8">
        <f>IF(AND($AB215=1,Processed_Data!C215="Sana Safinaz"),Processed_Data!L215/100,NA())</f>
        <v>0</v>
      </c>
      <c r="AB215">
        <f>--AND(OR($B$2="All",Processed_Data!C215=$B$2),OR($B$3="All",Processed_Data!F215=$B$3),OR($B$4="All",Processed_Data!G215=$B$4),OR($B$5="All",Processed_Data!H215=$B$5),OR($B$6="All",Processed_Data!R215=$B$6),OR($B$7="All",Processed_Data!N215=$B$7))</f>
        <v>1</v>
      </c>
      <c r="AC215">
        <f>IF($AB215=1,Processed_Data!J215,"")</f>
        <v>4499</v>
      </c>
      <c r="AD215">
        <f>IF($AB215=1,Processed_Data!L215,0)</f>
        <v>0</v>
      </c>
      <c r="AE215">
        <f>IF($AB215=1,--(Processed_Data!M215="On Sale"),0)</f>
        <v>0</v>
      </c>
      <c r="AF215" t="str">
        <f>IF(AND($AB215=1,Processed_Data!C215="J."),Processed_Data!J215,"")</f>
        <v/>
      </c>
      <c r="AG215" t="str">
        <f>IF(AND($AB215=1,Processed_Data!C215="Maria.B"),Processed_Data!J215,"")</f>
        <v/>
      </c>
      <c r="AH215">
        <f>IF(AND($AB215=1,Processed_Data!C215="Sana Safinaz"),Processed_Data!J215,"")</f>
        <v>4499</v>
      </c>
      <c r="AI215">
        <f>IF(AND($AB215=1,Processed_Data!C215="J."),Processed_Data!L215,0)</f>
        <v>0</v>
      </c>
      <c r="AJ215">
        <f>IF(AND($AB215=1,Processed_Data!C215="Maria.B"),Processed_Data!L215,0)</f>
        <v>0</v>
      </c>
      <c r="AK215">
        <f>IF(AND($AB215=1,Processed_Data!C215="Sana Safinaz"),Processed_Data!L215,0)</f>
        <v>0</v>
      </c>
    </row>
    <row r="216" spans="21:37">
      <c r="U216" s="4" t="e">
        <f>IF(AND($AB216=1,Processed_Data!C216="J."),Processed_Data!J216,NA())</f>
        <v>#N/A</v>
      </c>
      <c r="V216" s="8" t="e">
        <f>IF(AND($AB216=1,Processed_Data!C216="J."),Processed_Data!L216/100,NA())</f>
        <v>#N/A</v>
      </c>
      <c r="W216" s="4" t="e">
        <f>IF(AND($AB216=1,Processed_Data!C216="Maria.B"),Processed_Data!J216,NA())</f>
        <v>#N/A</v>
      </c>
      <c r="X216" s="8" t="e">
        <f>IF(AND($AB216=1,Processed_Data!C216="Maria.B"),Processed_Data!L216/100,NA())</f>
        <v>#N/A</v>
      </c>
      <c r="Y216" s="4">
        <f>IF(AND($AB216=1,Processed_Data!C216="Sana Safinaz"),Processed_Data!J216,NA())</f>
        <v>4499</v>
      </c>
      <c r="Z216" s="8">
        <f>IF(AND($AB216=1,Processed_Data!C216="Sana Safinaz"),Processed_Data!L216/100,NA())</f>
        <v>0</v>
      </c>
      <c r="AB216">
        <f>--AND(OR($B$2="All",Processed_Data!C216=$B$2),OR($B$3="All",Processed_Data!F216=$B$3),OR($B$4="All",Processed_Data!G216=$B$4),OR($B$5="All",Processed_Data!H216=$B$5),OR($B$6="All",Processed_Data!R216=$B$6),OR($B$7="All",Processed_Data!N216=$B$7))</f>
        <v>1</v>
      </c>
      <c r="AC216">
        <f>IF($AB216=1,Processed_Data!J216,"")</f>
        <v>4499</v>
      </c>
      <c r="AD216">
        <f>IF($AB216=1,Processed_Data!L216,0)</f>
        <v>0</v>
      </c>
      <c r="AE216">
        <f>IF($AB216=1,--(Processed_Data!M216="On Sale"),0)</f>
        <v>0</v>
      </c>
      <c r="AF216" t="str">
        <f>IF(AND($AB216=1,Processed_Data!C216="J."),Processed_Data!J216,"")</f>
        <v/>
      </c>
      <c r="AG216" t="str">
        <f>IF(AND($AB216=1,Processed_Data!C216="Maria.B"),Processed_Data!J216,"")</f>
        <v/>
      </c>
      <c r="AH216">
        <f>IF(AND($AB216=1,Processed_Data!C216="Sana Safinaz"),Processed_Data!J216,"")</f>
        <v>4499</v>
      </c>
      <c r="AI216">
        <f>IF(AND($AB216=1,Processed_Data!C216="J."),Processed_Data!L216,0)</f>
        <v>0</v>
      </c>
      <c r="AJ216">
        <f>IF(AND($AB216=1,Processed_Data!C216="Maria.B"),Processed_Data!L216,0)</f>
        <v>0</v>
      </c>
      <c r="AK216">
        <f>IF(AND($AB216=1,Processed_Data!C216="Sana Safinaz"),Processed_Data!L216,0)</f>
        <v>0</v>
      </c>
    </row>
    <row r="217" spans="21:37">
      <c r="U217" s="4" t="e">
        <f>IF(AND($AB217=1,Processed_Data!C217="J."),Processed_Data!J217,NA())</f>
        <v>#N/A</v>
      </c>
      <c r="V217" s="8" t="e">
        <f>IF(AND($AB217=1,Processed_Data!C217="J."),Processed_Data!L217/100,NA())</f>
        <v>#N/A</v>
      </c>
      <c r="W217" s="4" t="e">
        <f>IF(AND($AB217=1,Processed_Data!C217="Maria.B"),Processed_Data!J217,NA())</f>
        <v>#N/A</v>
      </c>
      <c r="X217" s="8" t="e">
        <f>IF(AND($AB217=1,Processed_Data!C217="Maria.B"),Processed_Data!L217/100,NA())</f>
        <v>#N/A</v>
      </c>
      <c r="Y217" s="4">
        <f>IF(AND($AB217=1,Processed_Data!C217="Sana Safinaz"),Processed_Data!J217,NA())</f>
        <v>4499</v>
      </c>
      <c r="Z217" s="8">
        <f>IF(AND($AB217=1,Processed_Data!C217="Sana Safinaz"),Processed_Data!L217/100,NA())</f>
        <v>0</v>
      </c>
      <c r="AB217">
        <f>--AND(OR($B$2="All",Processed_Data!C217=$B$2),OR($B$3="All",Processed_Data!F217=$B$3),OR($B$4="All",Processed_Data!G217=$B$4),OR($B$5="All",Processed_Data!H217=$B$5),OR($B$6="All",Processed_Data!R217=$B$6),OR($B$7="All",Processed_Data!N217=$B$7))</f>
        <v>1</v>
      </c>
      <c r="AC217">
        <f>IF($AB217=1,Processed_Data!J217,"")</f>
        <v>4499</v>
      </c>
      <c r="AD217">
        <f>IF($AB217=1,Processed_Data!L217,0)</f>
        <v>0</v>
      </c>
      <c r="AE217">
        <f>IF($AB217=1,--(Processed_Data!M217="On Sale"),0)</f>
        <v>0</v>
      </c>
      <c r="AF217" t="str">
        <f>IF(AND($AB217=1,Processed_Data!C217="J."),Processed_Data!J217,"")</f>
        <v/>
      </c>
      <c r="AG217" t="str">
        <f>IF(AND($AB217=1,Processed_Data!C217="Maria.B"),Processed_Data!J217,"")</f>
        <v/>
      </c>
      <c r="AH217">
        <f>IF(AND($AB217=1,Processed_Data!C217="Sana Safinaz"),Processed_Data!J217,"")</f>
        <v>4499</v>
      </c>
      <c r="AI217">
        <f>IF(AND($AB217=1,Processed_Data!C217="J."),Processed_Data!L217,0)</f>
        <v>0</v>
      </c>
      <c r="AJ217">
        <f>IF(AND($AB217=1,Processed_Data!C217="Maria.B"),Processed_Data!L217,0)</f>
        <v>0</v>
      </c>
      <c r="AK217">
        <f>IF(AND($AB217=1,Processed_Data!C217="Sana Safinaz"),Processed_Data!L217,0)</f>
        <v>0</v>
      </c>
    </row>
    <row r="218" spans="21:37">
      <c r="U218" s="4" t="e">
        <f>IF(AND($AB218=1,Processed_Data!C218="J."),Processed_Data!J218,NA())</f>
        <v>#N/A</v>
      </c>
      <c r="V218" s="8" t="e">
        <f>IF(AND($AB218=1,Processed_Data!C218="J."),Processed_Data!L218/100,NA())</f>
        <v>#N/A</v>
      </c>
      <c r="W218" s="4" t="e">
        <f>IF(AND($AB218=1,Processed_Data!C218="Maria.B"),Processed_Data!J218,NA())</f>
        <v>#N/A</v>
      </c>
      <c r="X218" s="8" t="e">
        <f>IF(AND($AB218=1,Processed_Data!C218="Maria.B"),Processed_Data!L218/100,NA())</f>
        <v>#N/A</v>
      </c>
      <c r="Y218" s="4">
        <f>IF(AND($AB218=1,Processed_Data!C218="Sana Safinaz"),Processed_Data!J218,NA())</f>
        <v>4499</v>
      </c>
      <c r="Z218" s="8">
        <f>IF(AND($AB218=1,Processed_Data!C218="Sana Safinaz"),Processed_Data!L218/100,NA())</f>
        <v>0</v>
      </c>
      <c r="AB218">
        <f>--AND(OR($B$2="All",Processed_Data!C218=$B$2),OR($B$3="All",Processed_Data!F218=$B$3),OR($B$4="All",Processed_Data!G218=$B$4),OR($B$5="All",Processed_Data!H218=$B$5),OR($B$6="All",Processed_Data!R218=$B$6),OR($B$7="All",Processed_Data!N218=$B$7))</f>
        <v>1</v>
      </c>
      <c r="AC218">
        <f>IF($AB218=1,Processed_Data!J218,"")</f>
        <v>4499</v>
      </c>
      <c r="AD218">
        <f>IF($AB218=1,Processed_Data!L218,0)</f>
        <v>0</v>
      </c>
      <c r="AE218">
        <f>IF($AB218=1,--(Processed_Data!M218="On Sale"),0)</f>
        <v>0</v>
      </c>
      <c r="AF218" t="str">
        <f>IF(AND($AB218=1,Processed_Data!C218="J."),Processed_Data!J218,"")</f>
        <v/>
      </c>
      <c r="AG218" t="str">
        <f>IF(AND($AB218=1,Processed_Data!C218="Maria.B"),Processed_Data!J218,"")</f>
        <v/>
      </c>
      <c r="AH218">
        <f>IF(AND($AB218=1,Processed_Data!C218="Sana Safinaz"),Processed_Data!J218,"")</f>
        <v>4499</v>
      </c>
      <c r="AI218">
        <f>IF(AND($AB218=1,Processed_Data!C218="J."),Processed_Data!L218,0)</f>
        <v>0</v>
      </c>
      <c r="AJ218">
        <f>IF(AND($AB218=1,Processed_Data!C218="Maria.B"),Processed_Data!L218,0)</f>
        <v>0</v>
      </c>
      <c r="AK218">
        <f>IF(AND($AB218=1,Processed_Data!C218="Sana Safinaz"),Processed_Data!L218,0)</f>
        <v>0</v>
      </c>
    </row>
    <row r="219" spans="21:37">
      <c r="U219" s="4" t="e">
        <f>IF(AND($AB219=1,Processed_Data!C219="J."),Processed_Data!J219,NA())</f>
        <v>#N/A</v>
      </c>
      <c r="V219" s="8" t="e">
        <f>IF(AND($AB219=1,Processed_Data!C219="J."),Processed_Data!L219/100,NA())</f>
        <v>#N/A</v>
      </c>
      <c r="W219" s="4" t="e">
        <f>IF(AND($AB219=1,Processed_Data!C219="Maria.B"),Processed_Data!J219,NA())</f>
        <v>#N/A</v>
      </c>
      <c r="X219" s="8" t="e">
        <f>IF(AND($AB219=1,Processed_Data!C219="Maria.B"),Processed_Data!L219/100,NA())</f>
        <v>#N/A</v>
      </c>
      <c r="Y219" s="4">
        <f>IF(AND($AB219=1,Processed_Data!C219="Sana Safinaz"),Processed_Data!J219,NA())</f>
        <v>2999</v>
      </c>
      <c r="Z219" s="8">
        <f>IF(AND($AB219=1,Processed_Data!C219="Sana Safinaz"),Processed_Data!L219/100,NA())</f>
        <v>0</v>
      </c>
      <c r="AB219">
        <f>--AND(OR($B$2="All",Processed_Data!C219=$B$2),OR($B$3="All",Processed_Data!F219=$B$3),OR($B$4="All",Processed_Data!G219=$B$4),OR($B$5="All",Processed_Data!H219=$B$5),OR($B$6="All",Processed_Data!R219=$B$6),OR($B$7="All",Processed_Data!N219=$B$7))</f>
        <v>1</v>
      </c>
      <c r="AC219">
        <f>IF($AB219=1,Processed_Data!J219,"")</f>
        <v>2999</v>
      </c>
      <c r="AD219">
        <f>IF($AB219=1,Processed_Data!L219,0)</f>
        <v>0</v>
      </c>
      <c r="AE219">
        <f>IF($AB219=1,--(Processed_Data!M219="On Sale"),0)</f>
        <v>0</v>
      </c>
      <c r="AF219" t="str">
        <f>IF(AND($AB219=1,Processed_Data!C219="J."),Processed_Data!J219,"")</f>
        <v/>
      </c>
      <c r="AG219" t="str">
        <f>IF(AND($AB219=1,Processed_Data!C219="Maria.B"),Processed_Data!J219,"")</f>
        <v/>
      </c>
      <c r="AH219">
        <f>IF(AND($AB219=1,Processed_Data!C219="Sana Safinaz"),Processed_Data!J219,"")</f>
        <v>2999</v>
      </c>
      <c r="AI219">
        <f>IF(AND($AB219=1,Processed_Data!C219="J."),Processed_Data!L219,0)</f>
        <v>0</v>
      </c>
      <c r="AJ219">
        <f>IF(AND($AB219=1,Processed_Data!C219="Maria.B"),Processed_Data!L219,0)</f>
        <v>0</v>
      </c>
      <c r="AK219">
        <f>IF(AND($AB219=1,Processed_Data!C219="Sana Safinaz"),Processed_Data!L219,0)</f>
        <v>0</v>
      </c>
    </row>
    <row r="220" spans="21:37">
      <c r="U220" s="4" t="e">
        <f>IF(AND($AB220=1,Processed_Data!C220="J."),Processed_Data!J220,NA())</f>
        <v>#N/A</v>
      </c>
      <c r="V220" s="8" t="e">
        <f>IF(AND($AB220=1,Processed_Data!C220="J."),Processed_Data!L220/100,NA())</f>
        <v>#N/A</v>
      </c>
      <c r="W220" s="4" t="e">
        <f>IF(AND($AB220=1,Processed_Data!C220="Maria.B"),Processed_Data!J220,NA())</f>
        <v>#N/A</v>
      </c>
      <c r="X220" s="8" t="e">
        <f>IF(AND($AB220=1,Processed_Data!C220="Maria.B"),Processed_Data!L220/100,NA())</f>
        <v>#N/A</v>
      </c>
      <c r="Y220" s="4">
        <f>IF(AND($AB220=1,Processed_Data!C220="Sana Safinaz"),Processed_Data!J220,NA())</f>
        <v>2999</v>
      </c>
      <c r="Z220" s="8">
        <f>IF(AND($AB220=1,Processed_Data!C220="Sana Safinaz"),Processed_Data!L220/100,NA())</f>
        <v>0</v>
      </c>
      <c r="AB220">
        <f>--AND(OR($B$2="All",Processed_Data!C220=$B$2),OR($B$3="All",Processed_Data!F220=$B$3),OR($B$4="All",Processed_Data!G220=$B$4),OR($B$5="All",Processed_Data!H220=$B$5),OR($B$6="All",Processed_Data!R220=$B$6),OR($B$7="All",Processed_Data!N220=$B$7))</f>
        <v>1</v>
      </c>
      <c r="AC220">
        <f>IF($AB220=1,Processed_Data!J220,"")</f>
        <v>2999</v>
      </c>
      <c r="AD220">
        <f>IF($AB220=1,Processed_Data!L220,0)</f>
        <v>0</v>
      </c>
      <c r="AE220">
        <f>IF($AB220=1,--(Processed_Data!M220="On Sale"),0)</f>
        <v>0</v>
      </c>
      <c r="AF220" t="str">
        <f>IF(AND($AB220=1,Processed_Data!C220="J."),Processed_Data!J220,"")</f>
        <v/>
      </c>
      <c r="AG220" t="str">
        <f>IF(AND($AB220=1,Processed_Data!C220="Maria.B"),Processed_Data!J220,"")</f>
        <v/>
      </c>
      <c r="AH220">
        <f>IF(AND($AB220=1,Processed_Data!C220="Sana Safinaz"),Processed_Data!J220,"")</f>
        <v>2999</v>
      </c>
      <c r="AI220">
        <f>IF(AND($AB220=1,Processed_Data!C220="J."),Processed_Data!L220,0)</f>
        <v>0</v>
      </c>
      <c r="AJ220">
        <f>IF(AND($AB220=1,Processed_Data!C220="Maria.B"),Processed_Data!L220,0)</f>
        <v>0</v>
      </c>
      <c r="AK220">
        <f>IF(AND($AB220=1,Processed_Data!C220="Sana Safinaz"),Processed_Data!L220,0)</f>
        <v>0</v>
      </c>
    </row>
    <row r="221" spans="21:37">
      <c r="U221" s="4" t="e">
        <f>IF(AND($AB221=1,Processed_Data!C221="J."),Processed_Data!J221,NA())</f>
        <v>#N/A</v>
      </c>
      <c r="V221" s="8" t="e">
        <f>IF(AND($AB221=1,Processed_Data!C221="J."),Processed_Data!L221/100,NA())</f>
        <v>#N/A</v>
      </c>
      <c r="W221" s="4" t="e">
        <f>IF(AND($AB221=1,Processed_Data!C221="Maria.B"),Processed_Data!J221,NA())</f>
        <v>#N/A</v>
      </c>
      <c r="X221" s="8" t="e">
        <f>IF(AND($AB221=1,Processed_Data!C221="Maria.B"),Processed_Data!L221/100,NA())</f>
        <v>#N/A</v>
      </c>
      <c r="Y221" s="4">
        <f>IF(AND($AB221=1,Processed_Data!C221="Sana Safinaz"),Processed_Data!J221,NA())</f>
        <v>8799</v>
      </c>
      <c r="Z221" s="8">
        <f>IF(AND($AB221=1,Processed_Data!C221="Sana Safinaz"),Processed_Data!L221/100,NA())</f>
        <v>0</v>
      </c>
      <c r="AB221">
        <f>--AND(OR($B$2="All",Processed_Data!C221=$B$2),OR($B$3="All",Processed_Data!F221=$B$3),OR($B$4="All",Processed_Data!G221=$B$4),OR($B$5="All",Processed_Data!H221=$B$5),OR($B$6="All",Processed_Data!R221=$B$6),OR($B$7="All",Processed_Data!N221=$B$7))</f>
        <v>1</v>
      </c>
      <c r="AC221">
        <f>IF($AB221=1,Processed_Data!J221,"")</f>
        <v>8799</v>
      </c>
      <c r="AD221">
        <f>IF($AB221=1,Processed_Data!L221,0)</f>
        <v>0</v>
      </c>
      <c r="AE221">
        <f>IF($AB221=1,--(Processed_Data!M221="On Sale"),0)</f>
        <v>0</v>
      </c>
      <c r="AF221" t="str">
        <f>IF(AND($AB221=1,Processed_Data!C221="J."),Processed_Data!J221,"")</f>
        <v/>
      </c>
      <c r="AG221" t="str">
        <f>IF(AND($AB221=1,Processed_Data!C221="Maria.B"),Processed_Data!J221,"")</f>
        <v/>
      </c>
      <c r="AH221">
        <f>IF(AND($AB221=1,Processed_Data!C221="Sana Safinaz"),Processed_Data!J221,"")</f>
        <v>8799</v>
      </c>
      <c r="AI221">
        <f>IF(AND($AB221=1,Processed_Data!C221="J."),Processed_Data!L221,0)</f>
        <v>0</v>
      </c>
      <c r="AJ221">
        <f>IF(AND($AB221=1,Processed_Data!C221="Maria.B"),Processed_Data!L221,0)</f>
        <v>0</v>
      </c>
      <c r="AK221">
        <f>IF(AND($AB221=1,Processed_Data!C221="Sana Safinaz"),Processed_Data!L221,0)</f>
        <v>0</v>
      </c>
    </row>
    <row r="222" spans="21:37">
      <c r="U222" s="4" t="e">
        <f>IF(AND($AB222=1,Processed_Data!C222="J."),Processed_Data!J222,NA())</f>
        <v>#N/A</v>
      </c>
      <c r="V222" s="8" t="e">
        <f>IF(AND($AB222=1,Processed_Data!C222="J."),Processed_Data!L222/100,NA())</f>
        <v>#N/A</v>
      </c>
      <c r="W222" s="4" t="e">
        <f>IF(AND($AB222=1,Processed_Data!C222="Maria.B"),Processed_Data!J222,NA())</f>
        <v>#N/A</v>
      </c>
      <c r="X222" s="8" t="e">
        <f>IF(AND($AB222=1,Processed_Data!C222="Maria.B"),Processed_Data!L222/100,NA())</f>
        <v>#N/A</v>
      </c>
      <c r="Y222" s="4">
        <f>IF(AND($AB222=1,Processed_Data!C222="Sana Safinaz"),Processed_Data!J222,NA())</f>
        <v>8799</v>
      </c>
      <c r="Z222" s="8">
        <f>IF(AND($AB222=1,Processed_Data!C222="Sana Safinaz"),Processed_Data!L222/100,NA())</f>
        <v>0</v>
      </c>
      <c r="AB222">
        <f>--AND(OR($B$2="All",Processed_Data!C222=$B$2),OR($B$3="All",Processed_Data!F222=$B$3),OR($B$4="All",Processed_Data!G222=$B$4),OR($B$5="All",Processed_Data!H222=$B$5),OR($B$6="All",Processed_Data!R222=$B$6),OR($B$7="All",Processed_Data!N222=$B$7))</f>
        <v>1</v>
      </c>
      <c r="AC222">
        <f>IF($AB222=1,Processed_Data!J222,"")</f>
        <v>8799</v>
      </c>
      <c r="AD222">
        <f>IF($AB222=1,Processed_Data!L222,0)</f>
        <v>0</v>
      </c>
      <c r="AE222">
        <f>IF($AB222=1,--(Processed_Data!M222="On Sale"),0)</f>
        <v>0</v>
      </c>
      <c r="AF222" t="str">
        <f>IF(AND($AB222=1,Processed_Data!C222="J."),Processed_Data!J222,"")</f>
        <v/>
      </c>
      <c r="AG222" t="str">
        <f>IF(AND($AB222=1,Processed_Data!C222="Maria.B"),Processed_Data!J222,"")</f>
        <v/>
      </c>
      <c r="AH222">
        <f>IF(AND($AB222=1,Processed_Data!C222="Sana Safinaz"),Processed_Data!J222,"")</f>
        <v>8799</v>
      </c>
      <c r="AI222">
        <f>IF(AND($AB222=1,Processed_Data!C222="J."),Processed_Data!L222,0)</f>
        <v>0</v>
      </c>
      <c r="AJ222">
        <f>IF(AND($AB222=1,Processed_Data!C222="Maria.B"),Processed_Data!L222,0)</f>
        <v>0</v>
      </c>
      <c r="AK222">
        <f>IF(AND($AB222=1,Processed_Data!C222="Sana Safinaz"),Processed_Data!L222,0)</f>
        <v>0</v>
      </c>
    </row>
    <row r="223" spans="21:37">
      <c r="U223" s="4" t="e">
        <f>IF(AND($AB223=1,Processed_Data!C223="J."),Processed_Data!J223,NA())</f>
        <v>#N/A</v>
      </c>
      <c r="V223" s="8" t="e">
        <f>IF(AND($AB223=1,Processed_Data!C223="J."),Processed_Data!L223/100,NA())</f>
        <v>#N/A</v>
      </c>
      <c r="W223" s="4" t="e">
        <f>IF(AND($AB223=1,Processed_Data!C223="Maria.B"),Processed_Data!J223,NA())</f>
        <v>#N/A</v>
      </c>
      <c r="X223" s="8" t="e">
        <f>IF(AND($AB223=1,Processed_Data!C223="Maria.B"),Processed_Data!L223/100,NA())</f>
        <v>#N/A</v>
      </c>
      <c r="Y223" s="4">
        <f>IF(AND($AB223=1,Processed_Data!C223="Sana Safinaz"),Processed_Data!J223,NA())</f>
        <v>8799</v>
      </c>
      <c r="Z223" s="8">
        <f>IF(AND($AB223=1,Processed_Data!C223="Sana Safinaz"),Processed_Data!L223/100,NA())</f>
        <v>0</v>
      </c>
      <c r="AB223">
        <f>--AND(OR($B$2="All",Processed_Data!C223=$B$2),OR($B$3="All",Processed_Data!F223=$B$3),OR($B$4="All",Processed_Data!G223=$B$4),OR($B$5="All",Processed_Data!H223=$B$5),OR($B$6="All",Processed_Data!R223=$B$6),OR($B$7="All",Processed_Data!N223=$B$7))</f>
        <v>1</v>
      </c>
      <c r="AC223">
        <f>IF($AB223=1,Processed_Data!J223,"")</f>
        <v>8799</v>
      </c>
      <c r="AD223">
        <f>IF($AB223=1,Processed_Data!L223,0)</f>
        <v>0</v>
      </c>
      <c r="AE223">
        <f>IF($AB223=1,--(Processed_Data!M223="On Sale"),0)</f>
        <v>0</v>
      </c>
      <c r="AF223" t="str">
        <f>IF(AND($AB223=1,Processed_Data!C223="J."),Processed_Data!J223,"")</f>
        <v/>
      </c>
      <c r="AG223" t="str">
        <f>IF(AND($AB223=1,Processed_Data!C223="Maria.B"),Processed_Data!J223,"")</f>
        <v/>
      </c>
      <c r="AH223">
        <f>IF(AND($AB223=1,Processed_Data!C223="Sana Safinaz"),Processed_Data!J223,"")</f>
        <v>8799</v>
      </c>
      <c r="AI223">
        <f>IF(AND($AB223=1,Processed_Data!C223="J."),Processed_Data!L223,0)</f>
        <v>0</v>
      </c>
      <c r="AJ223">
        <f>IF(AND($AB223=1,Processed_Data!C223="Maria.B"),Processed_Data!L223,0)</f>
        <v>0</v>
      </c>
      <c r="AK223">
        <f>IF(AND($AB223=1,Processed_Data!C223="Sana Safinaz"),Processed_Data!L223,0)</f>
        <v>0</v>
      </c>
    </row>
    <row r="224" spans="21:37">
      <c r="U224" s="4" t="e">
        <f>IF(AND($AB224=1,Processed_Data!C224="J."),Processed_Data!J224,NA())</f>
        <v>#N/A</v>
      </c>
      <c r="V224" s="8" t="e">
        <f>IF(AND($AB224=1,Processed_Data!C224="J."),Processed_Data!L224/100,NA())</f>
        <v>#N/A</v>
      </c>
      <c r="W224" s="4" t="e">
        <f>IF(AND($AB224=1,Processed_Data!C224="Maria.B"),Processed_Data!J224,NA())</f>
        <v>#N/A</v>
      </c>
      <c r="X224" s="8" t="e">
        <f>IF(AND($AB224=1,Processed_Data!C224="Maria.B"),Processed_Data!L224/100,NA())</f>
        <v>#N/A</v>
      </c>
      <c r="Y224" s="4">
        <f>IF(AND($AB224=1,Processed_Data!C224="Sana Safinaz"),Processed_Data!J224,NA())</f>
        <v>8799</v>
      </c>
      <c r="Z224" s="8">
        <f>IF(AND($AB224=1,Processed_Data!C224="Sana Safinaz"),Processed_Data!L224/100,NA())</f>
        <v>0</v>
      </c>
      <c r="AB224">
        <f>--AND(OR($B$2="All",Processed_Data!C224=$B$2),OR($B$3="All",Processed_Data!F224=$B$3),OR($B$4="All",Processed_Data!G224=$B$4),OR($B$5="All",Processed_Data!H224=$B$5),OR($B$6="All",Processed_Data!R224=$B$6),OR($B$7="All",Processed_Data!N224=$B$7))</f>
        <v>1</v>
      </c>
      <c r="AC224">
        <f>IF($AB224=1,Processed_Data!J224,"")</f>
        <v>8799</v>
      </c>
      <c r="AD224">
        <f>IF($AB224=1,Processed_Data!L224,0)</f>
        <v>0</v>
      </c>
      <c r="AE224">
        <f>IF($AB224=1,--(Processed_Data!M224="On Sale"),0)</f>
        <v>0</v>
      </c>
      <c r="AF224" t="str">
        <f>IF(AND($AB224=1,Processed_Data!C224="J."),Processed_Data!J224,"")</f>
        <v/>
      </c>
      <c r="AG224" t="str">
        <f>IF(AND($AB224=1,Processed_Data!C224="Maria.B"),Processed_Data!J224,"")</f>
        <v/>
      </c>
      <c r="AH224">
        <f>IF(AND($AB224=1,Processed_Data!C224="Sana Safinaz"),Processed_Data!J224,"")</f>
        <v>8799</v>
      </c>
      <c r="AI224">
        <f>IF(AND($AB224=1,Processed_Data!C224="J."),Processed_Data!L224,0)</f>
        <v>0</v>
      </c>
      <c r="AJ224">
        <f>IF(AND($AB224=1,Processed_Data!C224="Maria.B"),Processed_Data!L224,0)</f>
        <v>0</v>
      </c>
      <c r="AK224">
        <f>IF(AND($AB224=1,Processed_Data!C224="Sana Safinaz"),Processed_Data!L224,0)</f>
        <v>0</v>
      </c>
    </row>
    <row r="225" spans="21:37">
      <c r="U225" s="4" t="e">
        <f>IF(AND($AB225=1,Processed_Data!C225="J."),Processed_Data!J225,NA())</f>
        <v>#N/A</v>
      </c>
      <c r="V225" s="8" t="e">
        <f>IF(AND($AB225=1,Processed_Data!C225="J."),Processed_Data!L225/100,NA())</f>
        <v>#N/A</v>
      </c>
      <c r="W225" s="4" t="e">
        <f>IF(AND($AB225=1,Processed_Data!C225="Maria.B"),Processed_Data!J225,NA())</f>
        <v>#N/A</v>
      </c>
      <c r="X225" s="8" t="e">
        <f>IF(AND($AB225=1,Processed_Data!C225="Maria.B"),Processed_Data!L225/100,NA())</f>
        <v>#N/A</v>
      </c>
      <c r="Y225" s="4">
        <f>IF(AND($AB225=1,Processed_Data!C225="Sana Safinaz"),Processed_Data!J225,NA())</f>
        <v>10799</v>
      </c>
      <c r="Z225" s="8">
        <f>IF(AND($AB225=1,Processed_Data!C225="Sana Safinaz"),Processed_Data!L225/100,NA())</f>
        <v>0</v>
      </c>
      <c r="AB225">
        <f>--AND(OR($B$2="All",Processed_Data!C225=$B$2),OR($B$3="All",Processed_Data!F225=$B$3),OR($B$4="All",Processed_Data!G225=$B$4),OR($B$5="All",Processed_Data!H225=$B$5),OR($B$6="All",Processed_Data!R225=$B$6),OR($B$7="All",Processed_Data!N225=$B$7))</f>
        <v>1</v>
      </c>
      <c r="AC225">
        <f>IF($AB225=1,Processed_Data!J225,"")</f>
        <v>10799</v>
      </c>
      <c r="AD225">
        <f>IF($AB225=1,Processed_Data!L225,0)</f>
        <v>0</v>
      </c>
      <c r="AE225">
        <f>IF($AB225=1,--(Processed_Data!M225="On Sale"),0)</f>
        <v>0</v>
      </c>
      <c r="AF225" t="str">
        <f>IF(AND($AB225=1,Processed_Data!C225="J."),Processed_Data!J225,"")</f>
        <v/>
      </c>
      <c r="AG225" t="str">
        <f>IF(AND($AB225=1,Processed_Data!C225="Maria.B"),Processed_Data!J225,"")</f>
        <v/>
      </c>
      <c r="AH225">
        <f>IF(AND($AB225=1,Processed_Data!C225="Sana Safinaz"),Processed_Data!J225,"")</f>
        <v>10799</v>
      </c>
      <c r="AI225">
        <f>IF(AND($AB225=1,Processed_Data!C225="J."),Processed_Data!L225,0)</f>
        <v>0</v>
      </c>
      <c r="AJ225">
        <f>IF(AND($AB225=1,Processed_Data!C225="Maria.B"),Processed_Data!L225,0)</f>
        <v>0</v>
      </c>
      <c r="AK225">
        <f>IF(AND($AB225=1,Processed_Data!C225="Sana Safinaz"),Processed_Data!L225,0)</f>
        <v>0</v>
      </c>
    </row>
    <row r="226" spans="21:37">
      <c r="U226" s="4" t="e">
        <f>IF(AND($AB226=1,Processed_Data!C226="J."),Processed_Data!J226,NA())</f>
        <v>#N/A</v>
      </c>
      <c r="V226" s="8" t="e">
        <f>IF(AND($AB226=1,Processed_Data!C226="J."),Processed_Data!L226/100,NA())</f>
        <v>#N/A</v>
      </c>
      <c r="W226" s="4" t="e">
        <f>IF(AND($AB226=1,Processed_Data!C226="Maria.B"),Processed_Data!J226,NA())</f>
        <v>#N/A</v>
      </c>
      <c r="X226" s="8" t="e">
        <f>IF(AND($AB226=1,Processed_Data!C226="Maria.B"),Processed_Data!L226/100,NA())</f>
        <v>#N/A</v>
      </c>
      <c r="Y226" s="4">
        <f>IF(AND($AB226=1,Processed_Data!C226="Sana Safinaz"),Processed_Data!J226,NA())</f>
        <v>10799</v>
      </c>
      <c r="Z226" s="8">
        <f>IF(AND($AB226=1,Processed_Data!C226="Sana Safinaz"),Processed_Data!L226/100,NA())</f>
        <v>0</v>
      </c>
      <c r="AB226">
        <f>--AND(OR($B$2="All",Processed_Data!C226=$B$2),OR($B$3="All",Processed_Data!F226=$B$3),OR($B$4="All",Processed_Data!G226=$B$4),OR($B$5="All",Processed_Data!H226=$B$5),OR($B$6="All",Processed_Data!R226=$B$6),OR($B$7="All",Processed_Data!N226=$B$7))</f>
        <v>1</v>
      </c>
      <c r="AC226">
        <f>IF($AB226=1,Processed_Data!J226,"")</f>
        <v>10799</v>
      </c>
      <c r="AD226">
        <f>IF($AB226=1,Processed_Data!L226,0)</f>
        <v>0</v>
      </c>
      <c r="AE226">
        <f>IF($AB226=1,--(Processed_Data!M226="On Sale"),0)</f>
        <v>0</v>
      </c>
      <c r="AF226" t="str">
        <f>IF(AND($AB226=1,Processed_Data!C226="J."),Processed_Data!J226,"")</f>
        <v/>
      </c>
      <c r="AG226" t="str">
        <f>IF(AND($AB226=1,Processed_Data!C226="Maria.B"),Processed_Data!J226,"")</f>
        <v/>
      </c>
      <c r="AH226">
        <f>IF(AND($AB226=1,Processed_Data!C226="Sana Safinaz"),Processed_Data!J226,"")</f>
        <v>10799</v>
      </c>
      <c r="AI226">
        <f>IF(AND($AB226=1,Processed_Data!C226="J."),Processed_Data!L226,0)</f>
        <v>0</v>
      </c>
      <c r="AJ226">
        <f>IF(AND($AB226=1,Processed_Data!C226="Maria.B"),Processed_Data!L226,0)</f>
        <v>0</v>
      </c>
      <c r="AK226">
        <f>IF(AND($AB226=1,Processed_Data!C226="Sana Safinaz"),Processed_Data!L226,0)</f>
        <v>0</v>
      </c>
    </row>
    <row r="227" spans="21:37">
      <c r="U227" s="4" t="e">
        <f>IF(AND($AB227=1,Processed_Data!C227="J."),Processed_Data!J227,NA())</f>
        <v>#N/A</v>
      </c>
      <c r="V227" s="8" t="e">
        <f>IF(AND($AB227=1,Processed_Data!C227="J."),Processed_Data!L227/100,NA())</f>
        <v>#N/A</v>
      </c>
      <c r="W227" s="4" t="e">
        <f>IF(AND($AB227=1,Processed_Data!C227="Maria.B"),Processed_Data!J227,NA())</f>
        <v>#N/A</v>
      </c>
      <c r="X227" s="8" t="e">
        <f>IF(AND($AB227=1,Processed_Data!C227="Maria.B"),Processed_Data!L227/100,NA())</f>
        <v>#N/A</v>
      </c>
      <c r="Y227" s="4">
        <f>IF(AND($AB227=1,Processed_Data!C227="Sana Safinaz"),Processed_Data!J227,NA())</f>
        <v>12999</v>
      </c>
      <c r="Z227" s="8">
        <f>IF(AND($AB227=1,Processed_Data!C227="Sana Safinaz"),Processed_Data!L227/100,NA())</f>
        <v>0</v>
      </c>
      <c r="AB227">
        <f>--AND(OR($B$2="All",Processed_Data!C227=$B$2),OR($B$3="All",Processed_Data!F227=$B$3),OR($B$4="All",Processed_Data!G227=$B$4),OR($B$5="All",Processed_Data!H227=$B$5),OR($B$6="All",Processed_Data!R227=$B$6),OR($B$7="All",Processed_Data!N227=$B$7))</f>
        <v>1</v>
      </c>
      <c r="AC227">
        <f>IF($AB227=1,Processed_Data!J227,"")</f>
        <v>12999</v>
      </c>
      <c r="AD227">
        <f>IF($AB227=1,Processed_Data!L227,0)</f>
        <v>0</v>
      </c>
      <c r="AE227">
        <f>IF($AB227=1,--(Processed_Data!M227="On Sale"),0)</f>
        <v>0</v>
      </c>
      <c r="AF227" t="str">
        <f>IF(AND($AB227=1,Processed_Data!C227="J."),Processed_Data!J227,"")</f>
        <v/>
      </c>
      <c r="AG227" t="str">
        <f>IF(AND($AB227=1,Processed_Data!C227="Maria.B"),Processed_Data!J227,"")</f>
        <v/>
      </c>
      <c r="AH227">
        <f>IF(AND($AB227=1,Processed_Data!C227="Sana Safinaz"),Processed_Data!J227,"")</f>
        <v>12999</v>
      </c>
      <c r="AI227">
        <f>IF(AND($AB227=1,Processed_Data!C227="J."),Processed_Data!L227,0)</f>
        <v>0</v>
      </c>
      <c r="AJ227">
        <f>IF(AND($AB227=1,Processed_Data!C227="Maria.B"),Processed_Data!L227,0)</f>
        <v>0</v>
      </c>
      <c r="AK227">
        <f>IF(AND($AB227=1,Processed_Data!C227="Sana Safinaz"),Processed_Data!L227,0)</f>
        <v>0</v>
      </c>
    </row>
    <row r="228" spans="21:37">
      <c r="U228" s="4" t="e">
        <f>IF(AND($AB228=1,Processed_Data!C228="J."),Processed_Data!J228,NA())</f>
        <v>#N/A</v>
      </c>
      <c r="V228" s="8" t="e">
        <f>IF(AND($AB228=1,Processed_Data!C228="J."),Processed_Data!L228/100,NA())</f>
        <v>#N/A</v>
      </c>
      <c r="W228" s="4" t="e">
        <f>IF(AND($AB228=1,Processed_Data!C228="Maria.B"),Processed_Data!J228,NA())</f>
        <v>#N/A</v>
      </c>
      <c r="X228" s="8" t="e">
        <f>IF(AND($AB228=1,Processed_Data!C228="Maria.B"),Processed_Data!L228/100,NA())</f>
        <v>#N/A</v>
      </c>
      <c r="Y228" s="4">
        <f>IF(AND($AB228=1,Processed_Data!C228="Sana Safinaz"),Processed_Data!J228,NA())</f>
        <v>13499</v>
      </c>
      <c r="Z228" s="8">
        <f>IF(AND($AB228=1,Processed_Data!C228="Sana Safinaz"),Processed_Data!L228/100,NA())</f>
        <v>0</v>
      </c>
      <c r="AB228">
        <f>--AND(OR($B$2="All",Processed_Data!C228=$B$2),OR($B$3="All",Processed_Data!F228=$B$3),OR($B$4="All",Processed_Data!G228=$B$4),OR($B$5="All",Processed_Data!H228=$B$5),OR($B$6="All",Processed_Data!R228=$B$6),OR($B$7="All",Processed_Data!N228=$B$7))</f>
        <v>1</v>
      </c>
      <c r="AC228">
        <f>IF($AB228=1,Processed_Data!J228,"")</f>
        <v>13499</v>
      </c>
      <c r="AD228">
        <f>IF($AB228=1,Processed_Data!L228,0)</f>
        <v>0</v>
      </c>
      <c r="AE228">
        <f>IF($AB228=1,--(Processed_Data!M228="On Sale"),0)</f>
        <v>0</v>
      </c>
      <c r="AF228" t="str">
        <f>IF(AND($AB228=1,Processed_Data!C228="J."),Processed_Data!J228,"")</f>
        <v/>
      </c>
      <c r="AG228" t="str">
        <f>IF(AND($AB228=1,Processed_Data!C228="Maria.B"),Processed_Data!J228,"")</f>
        <v/>
      </c>
      <c r="AH228">
        <f>IF(AND($AB228=1,Processed_Data!C228="Sana Safinaz"),Processed_Data!J228,"")</f>
        <v>13499</v>
      </c>
      <c r="AI228">
        <f>IF(AND($AB228=1,Processed_Data!C228="J."),Processed_Data!L228,0)</f>
        <v>0</v>
      </c>
      <c r="AJ228">
        <f>IF(AND($AB228=1,Processed_Data!C228="Maria.B"),Processed_Data!L228,0)</f>
        <v>0</v>
      </c>
      <c r="AK228">
        <f>IF(AND($AB228=1,Processed_Data!C228="Sana Safinaz"),Processed_Data!L228,0)</f>
        <v>0</v>
      </c>
    </row>
    <row r="229" spans="21:37">
      <c r="U229" s="4" t="e">
        <f>IF(AND($AB229=1,Processed_Data!C229="J."),Processed_Data!J229,NA())</f>
        <v>#N/A</v>
      </c>
      <c r="V229" s="8" t="e">
        <f>IF(AND($AB229=1,Processed_Data!C229="J."),Processed_Data!L229/100,NA())</f>
        <v>#N/A</v>
      </c>
      <c r="W229" s="4" t="e">
        <f>IF(AND($AB229=1,Processed_Data!C229="Maria.B"),Processed_Data!J229,NA())</f>
        <v>#N/A</v>
      </c>
      <c r="X229" s="8" t="e">
        <f>IF(AND($AB229=1,Processed_Data!C229="Maria.B"),Processed_Data!L229/100,NA())</f>
        <v>#N/A</v>
      </c>
      <c r="Y229" s="4">
        <f>IF(AND($AB229=1,Processed_Data!C229="Sana Safinaz"),Processed_Data!J229,NA())</f>
        <v>9099</v>
      </c>
      <c r="Z229" s="8">
        <f>IF(AND($AB229=1,Processed_Data!C229="Sana Safinaz"),Processed_Data!L229/100,NA())</f>
        <v>0</v>
      </c>
      <c r="AB229">
        <f>--AND(OR($B$2="All",Processed_Data!C229=$B$2),OR($B$3="All",Processed_Data!F229=$B$3),OR($B$4="All",Processed_Data!G229=$B$4),OR($B$5="All",Processed_Data!H229=$B$5),OR($B$6="All",Processed_Data!R229=$B$6),OR($B$7="All",Processed_Data!N229=$B$7))</f>
        <v>1</v>
      </c>
      <c r="AC229">
        <f>IF($AB229=1,Processed_Data!J229,"")</f>
        <v>9099</v>
      </c>
      <c r="AD229">
        <f>IF($AB229=1,Processed_Data!L229,0)</f>
        <v>0</v>
      </c>
      <c r="AE229">
        <f>IF($AB229=1,--(Processed_Data!M229="On Sale"),0)</f>
        <v>0</v>
      </c>
      <c r="AF229" t="str">
        <f>IF(AND($AB229=1,Processed_Data!C229="J."),Processed_Data!J229,"")</f>
        <v/>
      </c>
      <c r="AG229" t="str">
        <f>IF(AND($AB229=1,Processed_Data!C229="Maria.B"),Processed_Data!J229,"")</f>
        <v/>
      </c>
      <c r="AH229">
        <f>IF(AND($AB229=1,Processed_Data!C229="Sana Safinaz"),Processed_Data!J229,"")</f>
        <v>9099</v>
      </c>
      <c r="AI229">
        <f>IF(AND($AB229=1,Processed_Data!C229="J."),Processed_Data!L229,0)</f>
        <v>0</v>
      </c>
      <c r="AJ229">
        <f>IF(AND($AB229=1,Processed_Data!C229="Maria.B"),Processed_Data!L229,0)</f>
        <v>0</v>
      </c>
      <c r="AK229">
        <f>IF(AND($AB229=1,Processed_Data!C229="Sana Safinaz"),Processed_Data!L229,0)</f>
        <v>0</v>
      </c>
    </row>
    <row r="230" spans="21:37">
      <c r="U230" s="4" t="e">
        <f>IF(AND($AB230=1,Processed_Data!C230="J."),Processed_Data!J230,NA())</f>
        <v>#N/A</v>
      </c>
      <c r="V230" s="8" t="e">
        <f>IF(AND($AB230=1,Processed_Data!C230="J."),Processed_Data!L230/100,NA())</f>
        <v>#N/A</v>
      </c>
      <c r="W230" s="4" t="e">
        <f>IF(AND($AB230=1,Processed_Data!C230="Maria.B"),Processed_Data!J230,NA())</f>
        <v>#N/A</v>
      </c>
      <c r="X230" s="8" t="e">
        <f>IF(AND($AB230=1,Processed_Data!C230="Maria.B"),Processed_Data!L230/100,NA())</f>
        <v>#N/A</v>
      </c>
      <c r="Y230" s="4">
        <f>IF(AND($AB230=1,Processed_Data!C230="Sana Safinaz"),Processed_Data!J230,NA())</f>
        <v>7799</v>
      </c>
      <c r="Z230" s="8">
        <f>IF(AND($AB230=1,Processed_Data!C230="Sana Safinaz"),Processed_Data!L230/100,NA())</f>
        <v>0</v>
      </c>
      <c r="AB230">
        <f>--AND(OR($B$2="All",Processed_Data!C230=$B$2),OR($B$3="All",Processed_Data!F230=$B$3),OR($B$4="All",Processed_Data!G230=$B$4),OR($B$5="All",Processed_Data!H230=$B$5),OR($B$6="All",Processed_Data!R230=$B$6),OR($B$7="All",Processed_Data!N230=$B$7))</f>
        <v>1</v>
      </c>
      <c r="AC230">
        <f>IF($AB230=1,Processed_Data!J230,"")</f>
        <v>7799</v>
      </c>
      <c r="AD230">
        <f>IF($AB230=1,Processed_Data!L230,0)</f>
        <v>0</v>
      </c>
      <c r="AE230">
        <f>IF($AB230=1,--(Processed_Data!M230="On Sale"),0)</f>
        <v>0</v>
      </c>
      <c r="AF230" t="str">
        <f>IF(AND($AB230=1,Processed_Data!C230="J."),Processed_Data!J230,"")</f>
        <v/>
      </c>
      <c r="AG230" t="str">
        <f>IF(AND($AB230=1,Processed_Data!C230="Maria.B"),Processed_Data!J230,"")</f>
        <v/>
      </c>
      <c r="AH230">
        <f>IF(AND($AB230=1,Processed_Data!C230="Sana Safinaz"),Processed_Data!J230,"")</f>
        <v>7799</v>
      </c>
      <c r="AI230">
        <f>IF(AND($AB230=1,Processed_Data!C230="J."),Processed_Data!L230,0)</f>
        <v>0</v>
      </c>
      <c r="AJ230">
        <f>IF(AND($AB230=1,Processed_Data!C230="Maria.B"),Processed_Data!L230,0)</f>
        <v>0</v>
      </c>
      <c r="AK230">
        <f>IF(AND($AB230=1,Processed_Data!C230="Sana Safinaz"),Processed_Data!L230,0)</f>
        <v>0</v>
      </c>
    </row>
    <row r="231" spans="21:37">
      <c r="U231" s="4" t="e">
        <f>IF(AND($AB231=1,Processed_Data!C231="J."),Processed_Data!J231,NA())</f>
        <v>#N/A</v>
      </c>
      <c r="V231" s="8" t="e">
        <f>IF(AND($AB231=1,Processed_Data!C231="J."),Processed_Data!L231/100,NA())</f>
        <v>#N/A</v>
      </c>
      <c r="W231" s="4" t="e">
        <f>IF(AND($AB231=1,Processed_Data!C231="Maria.B"),Processed_Data!J231,NA())</f>
        <v>#N/A</v>
      </c>
      <c r="X231" s="8" t="e">
        <f>IF(AND($AB231=1,Processed_Data!C231="Maria.B"),Processed_Data!L231/100,NA())</f>
        <v>#N/A</v>
      </c>
      <c r="Y231" s="4">
        <f>IF(AND($AB231=1,Processed_Data!C231="Sana Safinaz"),Processed_Data!J231,NA())</f>
        <v>8499</v>
      </c>
      <c r="Z231" s="8">
        <f>IF(AND($AB231=1,Processed_Data!C231="Sana Safinaz"),Processed_Data!L231/100,NA())</f>
        <v>0</v>
      </c>
      <c r="AB231">
        <f>--AND(OR($B$2="All",Processed_Data!C231=$B$2),OR($B$3="All",Processed_Data!F231=$B$3),OR($B$4="All",Processed_Data!G231=$B$4),OR($B$5="All",Processed_Data!H231=$B$5),OR($B$6="All",Processed_Data!R231=$B$6),OR($B$7="All",Processed_Data!N231=$B$7))</f>
        <v>1</v>
      </c>
      <c r="AC231">
        <f>IF($AB231=1,Processed_Data!J231,"")</f>
        <v>8499</v>
      </c>
      <c r="AD231">
        <f>IF($AB231=1,Processed_Data!L231,0)</f>
        <v>0</v>
      </c>
      <c r="AE231">
        <f>IF($AB231=1,--(Processed_Data!M231="On Sale"),0)</f>
        <v>0</v>
      </c>
      <c r="AF231" t="str">
        <f>IF(AND($AB231=1,Processed_Data!C231="J."),Processed_Data!J231,"")</f>
        <v/>
      </c>
      <c r="AG231" t="str">
        <f>IF(AND($AB231=1,Processed_Data!C231="Maria.B"),Processed_Data!J231,"")</f>
        <v/>
      </c>
      <c r="AH231">
        <f>IF(AND($AB231=1,Processed_Data!C231="Sana Safinaz"),Processed_Data!J231,"")</f>
        <v>8499</v>
      </c>
      <c r="AI231">
        <f>IF(AND($AB231=1,Processed_Data!C231="J."),Processed_Data!L231,0)</f>
        <v>0</v>
      </c>
      <c r="AJ231">
        <f>IF(AND($AB231=1,Processed_Data!C231="Maria.B"),Processed_Data!L231,0)</f>
        <v>0</v>
      </c>
      <c r="AK231">
        <f>IF(AND($AB231=1,Processed_Data!C231="Sana Safinaz"),Processed_Data!L231,0)</f>
        <v>0</v>
      </c>
    </row>
    <row r="232" spans="21:37">
      <c r="U232" s="4" t="e">
        <f>IF(AND($AB232=1,Processed_Data!C232="J."),Processed_Data!J232,NA())</f>
        <v>#N/A</v>
      </c>
      <c r="V232" s="8" t="e">
        <f>IF(AND($AB232=1,Processed_Data!C232="J."),Processed_Data!L232/100,NA())</f>
        <v>#N/A</v>
      </c>
      <c r="W232" s="4" t="e">
        <f>IF(AND($AB232=1,Processed_Data!C232="Maria.B"),Processed_Data!J232,NA())</f>
        <v>#N/A</v>
      </c>
      <c r="X232" s="8" t="e">
        <f>IF(AND($AB232=1,Processed_Data!C232="Maria.B"),Processed_Data!L232/100,NA())</f>
        <v>#N/A</v>
      </c>
      <c r="Y232" s="4">
        <f>IF(AND($AB232=1,Processed_Data!C232="Sana Safinaz"),Processed_Data!J232,NA())</f>
        <v>8399</v>
      </c>
      <c r="Z232" s="8">
        <f>IF(AND($AB232=1,Processed_Data!C232="Sana Safinaz"),Processed_Data!L232/100,NA())</f>
        <v>0</v>
      </c>
      <c r="AB232">
        <f>--AND(OR($B$2="All",Processed_Data!C232=$B$2),OR($B$3="All",Processed_Data!F232=$B$3),OR($B$4="All",Processed_Data!G232=$B$4),OR($B$5="All",Processed_Data!H232=$B$5),OR($B$6="All",Processed_Data!R232=$B$6),OR($B$7="All",Processed_Data!N232=$B$7))</f>
        <v>1</v>
      </c>
      <c r="AC232">
        <f>IF($AB232=1,Processed_Data!J232,"")</f>
        <v>8399</v>
      </c>
      <c r="AD232">
        <f>IF($AB232=1,Processed_Data!L232,0)</f>
        <v>0</v>
      </c>
      <c r="AE232">
        <f>IF($AB232=1,--(Processed_Data!M232="On Sale"),0)</f>
        <v>0</v>
      </c>
      <c r="AF232" t="str">
        <f>IF(AND($AB232=1,Processed_Data!C232="J."),Processed_Data!J232,"")</f>
        <v/>
      </c>
      <c r="AG232" t="str">
        <f>IF(AND($AB232=1,Processed_Data!C232="Maria.B"),Processed_Data!J232,"")</f>
        <v/>
      </c>
      <c r="AH232">
        <f>IF(AND($AB232=1,Processed_Data!C232="Sana Safinaz"),Processed_Data!J232,"")</f>
        <v>8399</v>
      </c>
      <c r="AI232">
        <f>IF(AND($AB232=1,Processed_Data!C232="J."),Processed_Data!L232,0)</f>
        <v>0</v>
      </c>
      <c r="AJ232">
        <f>IF(AND($AB232=1,Processed_Data!C232="Maria.B"),Processed_Data!L232,0)</f>
        <v>0</v>
      </c>
      <c r="AK232">
        <f>IF(AND($AB232=1,Processed_Data!C232="Sana Safinaz"),Processed_Data!L232,0)</f>
        <v>0</v>
      </c>
    </row>
    <row r="233" spans="21:37">
      <c r="U233" s="4" t="e">
        <f>IF(AND($AB233=1,Processed_Data!C233="J."),Processed_Data!J233,NA())</f>
        <v>#N/A</v>
      </c>
      <c r="V233" s="8" t="e">
        <f>IF(AND($AB233=1,Processed_Data!C233="J."),Processed_Data!L233/100,NA())</f>
        <v>#N/A</v>
      </c>
      <c r="W233" s="4" t="e">
        <f>IF(AND($AB233=1,Processed_Data!C233="Maria.B"),Processed_Data!J233,NA())</f>
        <v>#N/A</v>
      </c>
      <c r="X233" s="8" t="e">
        <f>IF(AND($AB233=1,Processed_Data!C233="Maria.B"),Processed_Data!L233/100,NA())</f>
        <v>#N/A</v>
      </c>
      <c r="Y233" s="4">
        <f>IF(AND($AB233=1,Processed_Data!C233="Sana Safinaz"),Processed_Data!J233,NA())</f>
        <v>9999</v>
      </c>
      <c r="Z233" s="8">
        <f>IF(AND($AB233=1,Processed_Data!C233="Sana Safinaz"),Processed_Data!L233/100,NA())</f>
        <v>0</v>
      </c>
      <c r="AB233">
        <f>--AND(OR($B$2="All",Processed_Data!C233=$B$2),OR($B$3="All",Processed_Data!F233=$B$3),OR($B$4="All",Processed_Data!G233=$B$4),OR($B$5="All",Processed_Data!H233=$B$5),OR($B$6="All",Processed_Data!R233=$B$6),OR($B$7="All",Processed_Data!N233=$B$7))</f>
        <v>1</v>
      </c>
      <c r="AC233">
        <f>IF($AB233=1,Processed_Data!J233,"")</f>
        <v>9999</v>
      </c>
      <c r="AD233">
        <f>IF($AB233=1,Processed_Data!L233,0)</f>
        <v>0</v>
      </c>
      <c r="AE233">
        <f>IF($AB233=1,--(Processed_Data!M233="On Sale"),0)</f>
        <v>0</v>
      </c>
      <c r="AF233" t="str">
        <f>IF(AND($AB233=1,Processed_Data!C233="J."),Processed_Data!J233,"")</f>
        <v/>
      </c>
      <c r="AG233" t="str">
        <f>IF(AND($AB233=1,Processed_Data!C233="Maria.B"),Processed_Data!J233,"")</f>
        <v/>
      </c>
      <c r="AH233">
        <f>IF(AND($AB233=1,Processed_Data!C233="Sana Safinaz"),Processed_Data!J233,"")</f>
        <v>9999</v>
      </c>
      <c r="AI233">
        <f>IF(AND($AB233=1,Processed_Data!C233="J."),Processed_Data!L233,0)</f>
        <v>0</v>
      </c>
      <c r="AJ233">
        <f>IF(AND($AB233=1,Processed_Data!C233="Maria.B"),Processed_Data!L233,0)</f>
        <v>0</v>
      </c>
      <c r="AK233">
        <f>IF(AND($AB233=1,Processed_Data!C233="Sana Safinaz"),Processed_Data!L233,0)</f>
        <v>0</v>
      </c>
    </row>
    <row r="234" spans="21:37">
      <c r="U234" s="4" t="e">
        <f>IF(AND($AB234=1,Processed_Data!C234="J."),Processed_Data!J234,NA())</f>
        <v>#N/A</v>
      </c>
      <c r="V234" s="8" t="e">
        <f>IF(AND($AB234=1,Processed_Data!C234="J."),Processed_Data!L234/100,NA())</f>
        <v>#N/A</v>
      </c>
      <c r="W234" s="4" t="e">
        <f>IF(AND($AB234=1,Processed_Data!C234="Maria.B"),Processed_Data!J234,NA())</f>
        <v>#N/A</v>
      </c>
      <c r="X234" s="8" t="e">
        <f>IF(AND($AB234=1,Processed_Data!C234="Maria.B"),Processed_Data!L234/100,NA())</f>
        <v>#N/A</v>
      </c>
      <c r="Y234" s="4">
        <f>IF(AND($AB234=1,Processed_Data!C234="Sana Safinaz"),Processed_Data!J234,NA())</f>
        <v>8999</v>
      </c>
      <c r="Z234" s="8">
        <f>IF(AND($AB234=1,Processed_Data!C234="Sana Safinaz"),Processed_Data!L234/100,NA())</f>
        <v>0</v>
      </c>
      <c r="AB234">
        <f>--AND(OR($B$2="All",Processed_Data!C234=$B$2),OR($B$3="All",Processed_Data!F234=$B$3),OR($B$4="All",Processed_Data!G234=$B$4),OR($B$5="All",Processed_Data!H234=$B$5),OR($B$6="All",Processed_Data!R234=$B$6),OR($B$7="All",Processed_Data!N234=$B$7))</f>
        <v>1</v>
      </c>
      <c r="AC234">
        <f>IF($AB234=1,Processed_Data!J234,"")</f>
        <v>8999</v>
      </c>
      <c r="AD234">
        <f>IF($AB234=1,Processed_Data!L234,0)</f>
        <v>0</v>
      </c>
      <c r="AE234">
        <f>IF($AB234=1,--(Processed_Data!M234="On Sale"),0)</f>
        <v>0</v>
      </c>
      <c r="AF234" t="str">
        <f>IF(AND($AB234=1,Processed_Data!C234="J."),Processed_Data!J234,"")</f>
        <v/>
      </c>
      <c r="AG234" t="str">
        <f>IF(AND($AB234=1,Processed_Data!C234="Maria.B"),Processed_Data!J234,"")</f>
        <v/>
      </c>
      <c r="AH234">
        <f>IF(AND($AB234=1,Processed_Data!C234="Sana Safinaz"),Processed_Data!J234,"")</f>
        <v>8999</v>
      </c>
      <c r="AI234">
        <f>IF(AND($AB234=1,Processed_Data!C234="J."),Processed_Data!L234,0)</f>
        <v>0</v>
      </c>
      <c r="AJ234">
        <f>IF(AND($AB234=1,Processed_Data!C234="Maria.B"),Processed_Data!L234,0)</f>
        <v>0</v>
      </c>
      <c r="AK234">
        <f>IF(AND($AB234=1,Processed_Data!C234="Sana Safinaz"),Processed_Data!L234,0)</f>
        <v>0</v>
      </c>
    </row>
    <row r="235" spans="21:37">
      <c r="U235" s="4" t="e">
        <f>IF(AND($AB235=1,Processed_Data!C235="J."),Processed_Data!J235,NA())</f>
        <v>#N/A</v>
      </c>
      <c r="V235" s="8" t="e">
        <f>IF(AND($AB235=1,Processed_Data!C235="J."),Processed_Data!L235/100,NA())</f>
        <v>#N/A</v>
      </c>
      <c r="W235" s="4" t="e">
        <f>IF(AND($AB235=1,Processed_Data!C235="Maria.B"),Processed_Data!J235,NA())</f>
        <v>#N/A</v>
      </c>
      <c r="X235" s="8" t="e">
        <f>IF(AND($AB235=1,Processed_Data!C235="Maria.B"),Processed_Data!L235/100,NA())</f>
        <v>#N/A</v>
      </c>
      <c r="Y235" s="4">
        <f>IF(AND($AB235=1,Processed_Data!C235="Sana Safinaz"),Processed_Data!J235,NA())</f>
        <v>5999</v>
      </c>
      <c r="Z235" s="8">
        <f>IF(AND($AB235=1,Processed_Data!C235="Sana Safinaz"),Processed_Data!L235/100,NA())</f>
        <v>0</v>
      </c>
      <c r="AB235">
        <f>--AND(OR($B$2="All",Processed_Data!C235=$B$2),OR($B$3="All",Processed_Data!F235=$B$3),OR($B$4="All",Processed_Data!G235=$B$4),OR($B$5="All",Processed_Data!H235=$B$5),OR($B$6="All",Processed_Data!R235=$B$6),OR($B$7="All",Processed_Data!N235=$B$7))</f>
        <v>1</v>
      </c>
      <c r="AC235">
        <f>IF($AB235=1,Processed_Data!J235,"")</f>
        <v>5999</v>
      </c>
      <c r="AD235">
        <f>IF($AB235=1,Processed_Data!L235,0)</f>
        <v>0</v>
      </c>
      <c r="AE235">
        <f>IF($AB235=1,--(Processed_Data!M235="On Sale"),0)</f>
        <v>0</v>
      </c>
      <c r="AF235" t="str">
        <f>IF(AND($AB235=1,Processed_Data!C235="J."),Processed_Data!J235,"")</f>
        <v/>
      </c>
      <c r="AG235" t="str">
        <f>IF(AND($AB235=1,Processed_Data!C235="Maria.B"),Processed_Data!J235,"")</f>
        <v/>
      </c>
      <c r="AH235">
        <f>IF(AND($AB235=1,Processed_Data!C235="Sana Safinaz"),Processed_Data!J235,"")</f>
        <v>5999</v>
      </c>
      <c r="AI235">
        <f>IF(AND($AB235=1,Processed_Data!C235="J."),Processed_Data!L235,0)</f>
        <v>0</v>
      </c>
      <c r="AJ235">
        <f>IF(AND($AB235=1,Processed_Data!C235="Maria.B"),Processed_Data!L235,0)</f>
        <v>0</v>
      </c>
      <c r="AK235">
        <f>IF(AND($AB235=1,Processed_Data!C235="Sana Safinaz"),Processed_Data!L235,0)</f>
        <v>0</v>
      </c>
    </row>
    <row r="236" spans="21:37">
      <c r="U236" s="4" t="e">
        <f>IF(AND($AB236=1,Processed_Data!C236="J."),Processed_Data!J236,NA())</f>
        <v>#N/A</v>
      </c>
      <c r="V236" s="8" t="e">
        <f>IF(AND($AB236=1,Processed_Data!C236="J."),Processed_Data!L236/100,NA())</f>
        <v>#N/A</v>
      </c>
      <c r="W236" s="4" t="e">
        <f>IF(AND($AB236=1,Processed_Data!C236="Maria.B"),Processed_Data!J236,NA())</f>
        <v>#N/A</v>
      </c>
      <c r="X236" s="8" t="e">
        <f>IF(AND($AB236=1,Processed_Data!C236="Maria.B"),Processed_Data!L236/100,NA())</f>
        <v>#N/A</v>
      </c>
      <c r="Y236" s="4">
        <f>IF(AND($AB236=1,Processed_Data!C236="Sana Safinaz"),Processed_Data!J236,NA())</f>
        <v>12399</v>
      </c>
      <c r="Z236" s="8">
        <f>IF(AND($AB236=1,Processed_Data!C236="Sana Safinaz"),Processed_Data!L236/100,NA())</f>
        <v>0</v>
      </c>
      <c r="AB236">
        <f>--AND(OR($B$2="All",Processed_Data!C236=$B$2),OR($B$3="All",Processed_Data!F236=$B$3),OR($B$4="All",Processed_Data!G236=$B$4),OR($B$5="All",Processed_Data!H236=$B$5),OR($B$6="All",Processed_Data!R236=$B$6),OR($B$7="All",Processed_Data!N236=$B$7))</f>
        <v>1</v>
      </c>
      <c r="AC236">
        <f>IF($AB236=1,Processed_Data!J236,"")</f>
        <v>12399</v>
      </c>
      <c r="AD236">
        <f>IF($AB236=1,Processed_Data!L236,0)</f>
        <v>0</v>
      </c>
      <c r="AE236">
        <f>IF($AB236=1,--(Processed_Data!M236="On Sale"),0)</f>
        <v>0</v>
      </c>
      <c r="AF236" t="str">
        <f>IF(AND($AB236=1,Processed_Data!C236="J."),Processed_Data!J236,"")</f>
        <v/>
      </c>
      <c r="AG236" t="str">
        <f>IF(AND($AB236=1,Processed_Data!C236="Maria.B"),Processed_Data!J236,"")</f>
        <v/>
      </c>
      <c r="AH236">
        <f>IF(AND($AB236=1,Processed_Data!C236="Sana Safinaz"),Processed_Data!J236,"")</f>
        <v>12399</v>
      </c>
      <c r="AI236">
        <f>IF(AND($AB236=1,Processed_Data!C236="J."),Processed_Data!L236,0)</f>
        <v>0</v>
      </c>
      <c r="AJ236">
        <f>IF(AND($AB236=1,Processed_Data!C236="Maria.B"),Processed_Data!L236,0)</f>
        <v>0</v>
      </c>
      <c r="AK236">
        <f>IF(AND($AB236=1,Processed_Data!C236="Sana Safinaz"),Processed_Data!L236,0)</f>
        <v>0</v>
      </c>
    </row>
    <row r="237" spans="21:37">
      <c r="U237" s="4" t="e">
        <f>IF(AND($AB237=1,Processed_Data!C237="J."),Processed_Data!J237,NA())</f>
        <v>#N/A</v>
      </c>
      <c r="V237" s="8" t="e">
        <f>IF(AND($AB237=1,Processed_Data!C237="J."),Processed_Data!L237/100,NA())</f>
        <v>#N/A</v>
      </c>
      <c r="W237" s="4" t="e">
        <f>IF(AND($AB237=1,Processed_Data!C237="Maria.B"),Processed_Data!J237,NA())</f>
        <v>#N/A</v>
      </c>
      <c r="X237" s="8" t="e">
        <f>IF(AND($AB237=1,Processed_Data!C237="Maria.B"),Processed_Data!L237/100,NA())</f>
        <v>#N/A</v>
      </c>
      <c r="Y237" s="4">
        <f>IF(AND($AB237=1,Processed_Data!C237="Sana Safinaz"),Processed_Data!J237,NA())</f>
        <v>10799</v>
      </c>
      <c r="Z237" s="8">
        <f>IF(AND($AB237=1,Processed_Data!C237="Sana Safinaz"),Processed_Data!L237/100,NA())</f>
        <v>0</v>
      </c>
      <c r="AB237">
        <f>--AND(OR($B$2="All",Processed_Data!C237=$B$2),OR($B$3="All",Processed_Data!F237=$B$3),OR($B$4="All",Processed_Data!G237=$B$4),OR($B$5="All",Processed_Data!H237=$B$5),OR($B$6="All",Processed_Data!R237=$B$6),OR($B$7="All",Processed_Data!N237=$B$7))</f>
        <v>1</v>
      </c>
      <c r="AC237">
        <f>IF($AB237=1,Processed_Data!J237,"")</f>
        <v>10799</v>
      </c>
      <c r="AD237">
        <f>IF($AB237=1,Processed_Data!L237,0)</f>
        <v>0</v>
      </c>
      <c r="AE237">
        <f>IF($AB237=1,--(Processed_Data!M237="On Sale"),0)</f>
        <v>0</v>
      </c>
      <c r="AF237" t="str">
        <f>IF(AND($AB237=1,Processed_Data!C237="J."),Processed_Data!J237,"")</f>
        <v/>
      </c>
      <c r="AG237" t="str">
        <f>IF(AND($AB237=1,Processed_Data!C237="Maria.B"),Processed_Data!J237,"")</f>
        <v/>
      </c>
      <c r="AH237">
        <f>IF(AND($AB237=1,Processed_Data!C237="Sana Safinaz"),Processed_Data!J237,"")</f>
        <v>10799</v>
      </c>
      <c r="AI237">
        <f>IF(AND($AB237=1,Processed_Data!C237="J."),Processed_Data!L237,0)</f>
        <v>0</v>
      </c>
      <c r="AJ237">
        <f>IF(AND($AB237=1,Processed_Data!C237="Maria.B"),Processed_Data!L237,0)</f>
        <v>0</v>
      </c>
      <c r="AK237">
        <f>IF(AND($AB237=1,Processed_Data!C237="Sana Safinaz"),Processed_Data!L237,0)</f>
        <v>0</v>
      </c>
    </row>
    <row r="238" spans="21:37">
      <c r="U238" s="4" t="e">
        <f>IF(AND($AB238=1,Processed_Data!C238="J."),Processed_Data!J238,NA())</f>
        <v>#N/A</v>
      </c>
      <c r="V238" s="8" t="e">
        <f>IF(AND($AB238=1,Processed_Data!C238="J."),Processed_Data!L238/100,NA())</f>
        <v>#N/A</v>
      </c>
      <c r="W238" s="4" t="e">
        <f>IF(AND($AB238=1,Processed_Data!C238="Maria.B"),Processed_Data!J238,NA())</f>
        <v>#N/A</v>
      </c>
      <c r="X238" s="8" t="e">
        <f>IF(AND($AB238=1,Processed_Data!C238="Maria.B"),Processed_Data!L238/100,NA())</f>
        <v>#N/A</v>
      </c>
      <c r="Y238" s="4">
        <f>IF(AND($AB238=1,Processed_Data!C238="Sana Safinaz"),Processed_Data!J238,NA())</f>
        <v>10499</v>
      </c>
      <c r="Z238" s="8">
        <f>IF(AND($AB238=1,Processed_Data!C238="Sana Safinaz"),Processed_Data!L238/100,NA())</f>
        <v>0</v>
      </c>
      <c r="AB238">
        <f>--AND(OR($B$2="All",Processed_Data!C238=$B$2),OR($B$3="All",Processed_Data!F238=$B$3),OR($B$4="All",Processed_Data!G238=$B$4),OR($B$5="All",Processed_Data!H238=$B$5),OR($B$6="All",Processed_Data!R238=$B$6),OR($B$7="All",Processed_Data!N238=$B$7))</f>
        <v>1</v>
      </c>
      <c r="AC238">
        <f>IF($AB238=1,Processed_Data!J238,"")</f>
        <v>10499</v>
      </c>
      <c r="AD238">
        <f>IF($AB238=1,Processed_Data!L238,0)</f>
        <v>0</v>
      </c>
      <c r="AE238">
        <f>IF($AB238=1,--(Processed_Data!M238="On Sale"),0)</f>
        <v>0</v>
      </c>
      <c r="AF238" t="str">
        <f>IF(AND($AB238=1,Processed_Data!C238="J."),Processed_Data!J238,"")</f>
        <v/>
      </c>
      <c r="AG238" t="str">
        <f>IF(AND($AB238=1,Processed_Data!C238="Maria.B"),Processed_Data!J238,"")</f>
        <v/>
      </c>
      <c r="AH238">
        <f>IF(AND($AB238=1,Processed_Data!C238="Sana Safinaz"),Processed_Data!J238,"")</f>
        <v>10499</v>
      </c>
      <c r="AI238">
        <f>IF(AND($AB238=1,Processed_Data!C238="J."),Processed_Data!L238,0)</f>
        <v>0</v>
      </c>
      <c r="AJ238">
        <f>IF(AND($AB238=1,Processed_Data!C238="Maria.B"),Processed_Data!L238,0)</f>
        <v>0</v>
      </c>
      <c r="AK238">
        <f>IF(AND($AB238=1,Processed_Data!C238="Sana Safinaz"),Processed_Data!L238,0)</f>
        <v>0</v>
      </c>
    </row>
    <row r="239" spans="21:37">
      <c r="U239" s="4" t="e">
        <f>IF(AND($AB239=1,Processed_Data!C239="J."),Processed_Data!J239,NA())</f>
        <v>#N/A</v>
      </c>
      <c r="V239" s="8" t="e">
        <f>IF(AND($AB239=1,Processed_Data!C239="J."),Processed_Data!L239/100,NA())</f>
        <v>#N/A</v>
      </c>
      <c r="W239" s="4" t="e">
        <f>IF(AND($AB239=1,Processed_Data!C239="Maria.B"),Processed_Data!J239,NA())</f>
        <v>#N/A</v>
      </c>
      <c r="X239" s="8" t="e">
        <f>IF(AND($AB239=1,Processed_Data!C239="Maria.B"),Processed_Data!L239/100,NA())</f>
        <v>#N/A</v>
      </c>
      <c r="Y239" s="4">
        <f>IF(AND($AB239=1,Processed_Data!C239="Sana Safinaz"),Processed_Data!J239,NA())</f>
        <v>7699</v>
      </c>
      <c r="Z239" s="8">
        <f>IF(AND($AB239=1,Processed_Data!C239="Sana Safinaz"),Processed_Data!L239/100,NA())</f>
        <v>0</v>
      </c>
      <c r="AB239">
        <f>--AND(OR($B$2="All",Processed_Data!C239=$B$2),OR($B$3="All",Processed_Data!F239=$B$3),OR($B$4="All",Processed_Data!G239=$B$4),OR($B$5="All",Processed_Data!H239=$B$5),OR($B$6="All",Processed_Data!R239=$B$6),OR($B$7="All",Processed_Data!N239=$B$7))</f>
        <v>1</v>
      </c>
      <c r="AC239">
        <f>IF($AB239=1,Processed_Data!J239,"")</f>
        <v>7699</v>
      </c>
      <c r="AD239">
        <f>IF($AB239=1,Processed_Data!L239,0)</f>
        <v>0</v>
      </c>
      <c r="AE239">
        <f>IF($AB239=1,--(Processed_Data!M239="On Sale"),0)</f>
        <v>0</v>
      </c>
      <c r="AF239" t="str">
        <f>IF(AND($AB239=1,Processed_Data!C239="J."),Processed_Data!J239,"")</f>
        <v/>
      </c>
      <c r="AG239" t="str">
        <f>IF(AND($AB239=1,Processed_Data!C239="Maria.B"),Processed_Data!J239,"")</f>
        <v/>
      </c>
      <c r="AH239">
        <f>IF(AND($AB239=1,Processed_Data!C239="Sana Safinaz"),Processed_Data!J239,"")</f>
        <v>7699</v>
      </c>
      <c r="AI239">
        <f>IF(AND($AB239=1,Processed_Data!C239="J."),Processed_Data!L239,0)</f>
        <v>0</v>
      </c>
      <c r="AJ239">
        <f>IF(AND($AB239=1,Processed_Data!C239="Maria.B"),Processed_Data!L239,0)</f>
        <v>0</v>
      </c>
      <c r="AK239">
        <f>IF(AND($AB239=1,Processed_Data!C239="Sana Safinaz"),Processed_Data!L239,0)</f>
        <v>0</v>
      </c>
    </row>
    <row r="240" spans="21:37">
      <c r="U240" s="4" t="e">
        <f>IF(AND($AB240=1,Processed_Data!C240="J."),Processed_Data!J240,NA())</f>
        <v>#N/A</v>
      </c>
      <c r="V240" s="8" t="e">
        <f>IF(AND($AB240=1,Processed_Data!C240="J."),Processed_Data!L240/100,NA())</f>
        <v>#N/A</v>
      </c>
      <c r="W240" s="4" t="e">
        <f>IF(AND($AB240=1,Processed_Data!C240="Maria.B"),Processed_Data!J240,NA())</f>
        <v>#N/A</v>
      </c>
      <c r="X240" s="8" t="e">
        <f>IF(AND($AB240=1,Processed_Data!C240="Maria.B"),Processed_Data!L240/100,NA())</f>
        <v>#N/A</v>
      </c>
      <c r="Y240" s="4">
        <f>IF(AND($AB240=1,Processed_Data!C240="Sana Safinaz"),Processed_Data!J240,NA())</f>
        <v>9899</v>
      </c>
      <c r="Z240" s="8">
        <f>IF(AND($AB240=1,Processed_Data!C240="Sana Safinaz"),Processed_Data!L240/100,NA())</f>
        <v>0</v>
      </c>
      <c r="AB240">
        <f>--AND(OR($B$2="All",Processed_Data!C240=$B$2),OR($B$3="All",Processed_Data!F240=$B$3),OR($B$4="All",Processed_Data!G240=$B$4),OR($B$5="All",Processed_Data!H240=$B$5),OR($B$6="All",Processed_Data!R240=$B$6),OR($B$7="All",Processed_Data!N240=$B$7))</f>
        <v>1</v>
      </c>
      <c r="AC240">
        <f>IF($AB240=1,Processed_Data!J240,"")</f>
        <v>9899</v>
      </c>
      <c r="AD240">
        <f>IF($AB240=1,Processed_Data!L240,0)</f>
        <v>0</v>
      </c>
      <c r="AE240">
        <f>IF($AB240=1,--(Processed_Data!M240="On Sale"),0)</f>
        <v>0</v>
      </c>
      <c r="AF240" t="str">
        <f>IF(AND($AB240=1,Processed_Data!C240="J."),Processed_Data!J240,"")</f>
        <v/>
      </c>
      <c r="AG240" t="str">
        <f>IF(AND($AB240=1,Processed_Data!C240="Maria.B"),Processed_Data!J240,"")</f>
        <v/>
      </c>
      <c r="AH240">
        <f>IF(AND($AB240=1,Processed_Data!C240="Sana Safinaz"),Processed_Data!J240,"")</f>
        <v>9899</v>
      </c>
      <c r="AI240">
        <f>IF(AND($AB240=1,Processed_Data!C240="J."),Processed_Data!L240,0)</f>
        <v>0</v>
      </c>
      <c r="AJ240">
        <f>IF(AND($AB240=1,Processed_Data!C240="Maria.B"),Processed_Data!L240,0)</f>
        <v>0</v>
      </c>
      <c r="AK240">
        <f>IF(AND($AB240=1,Processed_Data!C240="Sana Safinaz"),Processed_Data!L240,0)</f>
        <v>0</v>
      </c>
    </row>
    <row r="241" spans="21:37">
      <c r="U241" s="4" t="e">
        <f>IF(AND($AB241=1,Processed_Data!C241="J."),Processed_Data!J241,NA())</f>
        <v>#N/A</v>
      </c>
      <c r="V241" s="8" t="e">
        <f>IF(AND($AB241=1,Processed_Data!C241="J."),Processed_Data!L241/100,NA())</f>
        <v>#N/A</v>
      </c>
      <c r="W241" s="4" t="e">
        <f>IF(AND($AB241=1,Processed_Data!C241="Maria.B"),Processed_Data!J241,NA())</f>
        <v>#N/A</v>
      </c>
      <c r="X241" s="8" t="e">
        <f>IF(AND($AB241=1,Processed_Data!C241="Maria.B"),Processed_Data!L241/100,NA())</f>
        <v>#N/A</v>
      </c>
      <c r="Y241" s="4">
        <f>IF(AND($AB241=1,Processed_Data!C241="Sana Safinaz"),Processed_Data!J241,NA())</f>
        <v>7699</v>
      </c>
      <c r="Z241" s="8">
        <f>IF(AND($AB241=1,Processed_Data!C241="Sana Safinaz"),Processed_Data!L241/100,NA())</f>
        <v>0</v>
      </c>
      <c r="AB241">
        <f>--AND(OR($B$2="All",Processed_Data!C241=$B$2),OR($B$3="All",Processed_Data!F241=$B$3),OR($B$4="All",Processed_Data!G241=$B$4),OR($B$5="All",Processed_Data!H241=$B$5),OR($B$6="All",Processed_Data!R241=$B$6),OR($B$7="All",Processed_Data!N241=$B$7))</f>
        <v>1</v>
      </c>
      <c r="AC241">
        <f>IF($AB241=1,Processed_Data!J241,"")</f>
        <v>7699</v>
      </c>
      <c r="AD241">
        <f>IF($AB241=1,Processed_Data!L241,0)</f>
        <v>0</v>
      </c>
      <c r="AE241">
        <f>IF($AB241=1,--(Processed_Data!M241="On Sale"),0)</f>
        <v>0</v>
      </c>
      <c r="AF241" t="str">
        <f>IF(AND($AB241=1,Processed_Data!C241="J."),Processed_Data!J241,"")</f>
        <v/>
      </c>
      <c r="AG241" t="str">
        <f>IF(AND($AB241=1,Processed_Data!C241="Maria.B"),Processed_Data!J241,"")</f>
        <v/>
      </c>
      <c r="AH241">
        <f>IF(AND($AB241=1,Processed_Data!C241="Sana Safinaz"),Processed_Data!J241,"")</f>
        <v>7699</v>
      </c>
      <c r="AI241">
        <f>IF(AND($AB241=1,Processed_Data!C241="J."),Processed_Data!L241,0)</f>
        <v>0</v>
      </c>
      <c r="AJ241">
        <f>IF(AND($AB241=1,Processed_Data!C241="Maria.B"),Processed_Data!L241,0)</f>
        <v>0</v>
      </c>
      <c r="AK241">
        <f>IF(AND($AB241=1,Processed_Data!C241="Sana Safinaz"),Processed_Data!L241,0)</f>
        <v>0</v>
      </c>
    </row>
    <row r="242" spans="21:37">
      <c r="U242" s="4" t="e">
        <f>IF(AND($AB242=1,Processed_Data!C242="J."),Processed_Data!J242,NA())</f>
        <v>#N/A</v>
      </c>
      <c r="V242" s="8" t="e">
        <f>IF(AND($AB242=1,Processed_Data!C242="J."),Processed_Data!L242/100,NA())</f>
        <v>#N/A</v>
      </c>
      <c r="W242" s="4" t="e">
        <f>IF(AND($AB242=1,Processed_Data!C242="Maria.B"),Processed_Data!J242,NA())</f>
        <v>#N/A</v>
      </c>
      <c r="X242" s="8" t="e">
        <f>IF(AND($AB242=1,Processed_Data!C242="Maria.B"),Processed_Data!L242/100,NA())</f>
        <v>#N/A</v>
      </c>
      <c r="Y242" s="4">
        <f>IF(AND($AB242=1,Processed_Data!C242="Sana Safinaz"),Processed_Data!J242,NA())</f>
        <v>7999</v>
      </c>
      <c r="Z242" s="8">
        <f>IF(AND($AB242=1,Processed_Data!C242="Sana Safinaz"),Processed_Data!L242/100,NA())</f>
        <v>0</v>
      </c>
      <c r="AB242">
        <f>--AND(OR($B$2="All",Processed_Data!C242=$B$2),OR($B$3="All",Processed_Data!F242=$B$3),OR($B$4="All",Processed_Data!G242=$B$4),OR($B$5="All",Processed_Data!H242=$B$5),OR($B$6="All",Processed_Data!R242=$B$6),OR($B$7="All",Processed_Data!N242=$B$7))</f>
        <v>1</v>
      </c>
      <c r="AC242">
        <f>IF($AB242=1,Processed_Data!J242,"")</f>
        <v>7999</v>
      </c>
      <c r="AD242">
        <f>IF($AB242=1,Processed_Data!L242,0)</f>
        <v>0</v>
      </c>
      <c r="AE242">
        <f>IF($AB242=1,--(Processed_Data!M242="On Sale"),0)</f>
        <v>0</v>
      </c>
      <c r="AF242" t="str">
        <f>IF(AND($AB242=1,Processed_Data!C242="J."),Processed_Data!J242,"")</f>
        <v/>
      </c>
      <c r="AG242" t="str">
        <f>IF(AND($AB242=1,Processed_Data!C242="Maria.B"),Processed_Data!J242,"")</f>
        <v/>
      </c>
      <c r="AH242">
        <f>IF(AND($AB242=1,Processed_Data!C242="Sana Safinaz"),Processed_Data!J242,"")</f>
        <v>7999</v>
      </c>
      <c r="AI242">
        <f>IF(AND($AB242=1,Processed_Data!C242="J."),Processed_Data!L242,0)</f>
        <v>0</v>
      </c>
      <c r="AJ242">
        <f>IF(AND($AB242=1,Processed_Data!C242="Maria.B"),Processed_Data!L242,0)</f>
        <v>0</v>
      </c>
      <c r="AK242">
        <f>IF(AND($AB242=1,Processed_Data!C242="Sana Safinaz"),Processed_Data!L242,0)</f>
        <v>0</v>
      </c>
    </row>
    <row r="243" spans="21:37">
      <c r="U243" s="4" t="e">
        <f>IF(AND($AB243=1,Processed_Data!C243="J."),Processed_Data!J243,NA())</f>
        <v>#N/A</v>
      </c>
      <c r="V243" s="8" t="e">
        <f>IF(AND($AB243=1,Processed_Data!C243="J."),Processed_Data!L243/100,NA())</f>
        <v>#N/A</v>
      </c>
      <c r="W243" s="4" t="e">
        <f>IF(AND($AB243=1,Processed_Data!C243="Maria.B"),Processed_Data!J243,NA())</f>
        <v>#N/A</v>
      </c>
      <c r="X243" s="8" t="e">
        <f>IF(AND($AB243=1,Processed_Data!C243="Maria.B"),Processed_Data!L243/100,NA())</f>
        <v>#N/A</v>
      </c>
      <c r="Y243" s="4">
        <f>IF(AND($AB243=1,Processed_Data!C243="Sana Safinaz"),Processed_Data!J243,NA())</f>
        <v>6999</v>
      </c>
      <c r="Z243" s="8">
        <f>IF(AND($AB243=1,Processed_Data!C243="Sana Safinaz"),Processed_Data!L243/100,NA())</f>
        <v>0</v>
      </c>
      <c r="AB243">
        <f>--AND(OR($B$2="All",Processed_Data!C243=$B$2),OR($B$3="All",Processed_Data!F243=$B$3),OR($B$4="All",Processed_Data!G243=$B$4),OR($B$5="All",Processed_Data!H243=$B$5),OR($B$6="All",Processed_Data!R243=$B$6),OR($B$7="All",Processed_Data!N243=$B$7))</f>
        <v>1</v>
      </c>
      <c r="AC243">
        <f>IF($AB243=1,Processed_Data!J243,"")</f>
        <v>6999</v>
      </c>
      <c r="AD243">
        <f>IF($AB243=1,Processed_Data!L243,0)</f>
        <v>0</v>
      </c>
      <c r="AE243">
        <f>IF($AB243=1,--(Processed_Data!M243="On Sale"),0)</f>
        <v>0</v>
      </c>
      <c r="AF243" t="str">
        <f>IF(AND($AB243=1,Processed_Data!C243="J."),Processed_Data!J243,"")</f>
        <v/>
      </c>
      <c r="AG243" t="str">
        <f>IF(AND($AB243=1,Processed_Data!C243="Maria.B"),Processed_Data!J243,"")</f>
        <v/>
      </c>
      <c r="AH243">
        <f>IF(AND($AB243=1,Processed_Data!C243="Sana Safinaz"),Processed_Data!J243,"")</f>
        <v>6999</v>
      </c>
      <c r="AI243">
        <f>IF(AND($AB243=1,Processed_Data!C243="J."),Processed_Data!L243,0)</f>
        <v>0</v>
      </c>
      <c r="AJ243">
        <f>IF(AND($AB243=1,Processed_Data!C243="Maria.B"),Processed_Data!L243,0)</f>
        <v>0</v>
      </c>
      <c r="AK243">
        <f>IF(AND($AB243=1,Processed_Data!C243="Sana Safinaz"),Processed_Data!L243,0)</f>
        <v>0</v>
      </c>
    </row>
    <row r="244" spans="21:37">
      <c r="U244" s="4" t="e">
        <f>IF(AND($AB244=1,Processed_Data!C244="J."),Processed_Data!J244,NA())</f>
        <v>#N/A</v>
      </c>
      <c r="V244" s="8" t="e">
        <f>IF(AND($AB244=1,Processed_Data!C244="J."),Processed_Data!L244/100,NA())</f>
        <v>#N/A</v>
      </c>
      <c r="W244" s="4" t="e">
        <f>IF(AND($AB244=1,Processed_Data!C244="Maria.B"),Processed_Data!J244,NA())</f>
        <v>#N/A</v>
      </c>
      <c r="X244" s="8" t="e">
        <f>IF(AND($AB244=1,Processed_Data!C244="Maria.B"),Processed_Data!L244/100,NA())</f>
        <v>#N/A</v>
      </c>
      <c r="Y244" s="4">
        <f>IF(AND($AB244=1,Processed_Data!C244="Sana Safinaz"),Processed_Data!J244,NA())</f>
        <v>14499</v>
      </c>
      <c r="Z244" s="8">
        <f>IF(AND($AB244=1,Processed_Data!C244="Sana Safinaz"),Processed_Data!L244/100,NA())</f>
        <v>0</v>
      </c>
      <c r="AB244">
        <f>--AND(OR($B$2="All",Processed_Data!C244=$B$2),OR($B$3="All",Processed_Data!F244=$B$3),OR($B$4="All",Processed_Data!G244=$B$4),OR($B$5="All",Processed_Data!H244=$B$5),OR($B$6="All",Processed_Data!R244=$B$6),OR($B$7="All",Processed_Data!N244=$B$7))</f>
        <v>1</v>
      </c>
      <c r="AC244">
        <f>IF($AB244=1,Processed_Data!J244,"")</f>
        <v>14499</v>
      </c>
      <c r="AD244">
        <f>IF($AB244=1,Processed_Data!L244,0)</f>
        <v>0</v>
      </c>
      <c r="AE244">
        <f>IF($AB244=1,--(Processed_Data!M244="On Sale"),0)</f>
        <v>0</v>
      </c>
      <c r="AF244" t="str">
        <f>IF(AND($AB244=1,Processed_Data!C244="J."),Processed_Data!J244,"")</f>
        <v/>
      </c>
      <c r="AG244" t="str">
        <f>IF(AND($AB244=1,Processed_Data!C244="Maria.B"),Processed_Data!J244,"")</f>
        <v/>
      </c>
      <c r="AH244">
        <f>IF(AND($AB244=1,Processed_Data!C244="Sana Safinaz"),Processed_Data!J244,"")</f>
        <v>14499</v>
      </c>
      <c r="AI244">
        <f>IF(AND($AB244=1,Processed_Data!C244="J."),Processed_Data!L244,0)</f>
        <v>0</v>
      </c>
      <c r="AJ244">
        <f>IF(AND($AB244=1,Processed_Data!C244="Maria.B"),Processed_Data!L244,0)</f>
        <v>0</v>
      </c>
      <c r="AK244">
        <f>IF(AND($AB244=1,Processed_Data!C244="Sana Safinaz"),Processed_Data!L244,0)</f>
        <v>0</v>
      </c>
    </row>
    <row r="245" spans="21:37">
      <c r="U245" s="4" t="e">
        <f>IF(AND($AB245=1,Processed_Data!C245="J."),Processed_Data!J245,NA())</f>
        <v>#N/A</v>
      </c>
      <c r="V245" s="8" t="e">
        <f>IF(AND($AB245=1,Processed_Data!C245="J."),Processed_Data!L245/100,NA())</f>
        <v>#N/A</v>
      </c>
      <c r="W245" s="4" t="e">
        <f>IF(AND($AB245=1,Processed_Data!C245="Maria.B"),Processed_Data!J245,NA())</f>
        <v>#N/A</v>
      </c>
      <c r="X245" s="8" t="e">
        <f>IF(AND($AB245=1,Processed_Data!C245="Maria.B"),Processed_Data!L245/100,NA())</f>
        <v>#N/A</v>
      </c>
      <c r="Y245" s="4">
        <f>IF(AND($AB245=1,Processed_Data!C245="Sana Safinaz"),Processed_Data!J245,NA())</f>
        <v>5499</v>
      </c>
      <c r="Z245" s="8">
        <f>IF(AND($AB245=1,Processed_Data!C245="Sana Safinaz"),Processed_Data!L245/100,NA())</f>
        <v>0</v>
      </c>
      <c r="AB245">
        <f>--AND(OR($B$2="All",Processed_Data!C245=$B$2),OR($B$3="All",Processed_Data!F245=$B$3),OR($B$4="All",Processed_Data!G245=$B$4),OR($B$5="All",Processed_Data!H245=$B$5),OR($B$6="All",Processed_Data!R245=$B$6),OR($B$7="All",Processed_Data!N245=$B$7))</f>
        <v>1</v>
      </c>
      <c r="AC245">
        <f>IF($AB245=1,Processed_Data!J245,"")</f>
        <v>5499</v>
      </c>
      <c r="AD245">
        <f>IF($AB245=1,Processed_Data!L245,0)</f>
        <v>0</v>
      </c>
      <c r="AE245">
        <f>IF($AB245=1,--(Processed_Data!M245="On Sale"),0)</f>
        <v>0</v>
      </c>
      <c r="AF245" t="str">
        <f>IF(AND($AB245=1,Processed_Data!C245="J."),Processed_Data!J245,"")</f>
        <v/>
      </c>
      <c r="AG245" t="str">
        <f>IF(AND($AB245=1,Processed_Data!C245="Maria.B"),Processed_Data!J245,"")</f>
        <v/>
      </c>
      <c r="AH245">
        <f>IF(AND($AB245=1,Processed_Data!C245="Sana Safinaz"),Processed_Data!J245,"")</f>
        <v>5499</v>
      </c>
      <c r="AI245">
        <f>IF(AND($AB245=1,Processed_Data!C245="J."),Processed_Data!L245,0)</f>
        <v>0</v>
      </c>
      <c r="AJ245">
        <f>IF(AND($AB245=1,Processed_Data!C245="Maria.B"),Processed_Data!L245,0)</f>
        <v>0</v>
      </c>
      <c r="AK245">
        <f>IF(AND($AB245=1,Processed_Data!C245="Sana Safinaz"),Processed_Data!L245,0)</f>
        <v>0</v>
      </c>
    </row>
    <row r="246" spans="21:37">
      <c r="U246" s="4" t="e">
        <f>IF(AND($AB246=1,Processed_Data!C246="J."),Processed_Data!J246,NA())</f>
        <v>#N/A</v>
      </c>
      <c r="V246" s="8" t="e">
        <f>IF(AND($AB246=1,Processed_Data!C246="J."),Processed_Data!L246/100,NA())</f>
        <v>#N/A</v>
      </c>
      <c r="W246" s="4" t="e">
        <f>IF(AND($AB246=1,Processed_Data!C246="Maria.B"),Processed_Data!J246,NA())</f>
        <v>#N/A</v>
      </c>
      <c r="X246" s="8" t="e">
        <f>IF(AND($AB246=1,Processed_Data!C246="Maria.B"),Processed_Data!L246/100,NA())</f>
        <v>#N/A</v>
      </c>
      <c r="Y246" s="4">
        <f>IF(AND($AB246=1,Processed_Data!C246="Sana Safinaz"),Processed_Data!J246,NA())</f>
        <v>5499</v>
      </c>
      <c r="Z246" s="8">
        <f>IF(AND($AB246=1,Processed_Data!C246="Sana Safinaz"),Processed_Data!L246/100,NA())</f>
        <v>0</v>
      </c>
      <c r="AB246">
        <f>--AND(OR($B$2="All",Processed_Data!C246=$B$2),OR($B$3="All",Processed_Data!F246=$B$3),OR($B$4="All",Processed_Data!G246=$B$4),OR($B$5="All",Processed_Data!H246=$B$5),OR($B$6="All",Processed_Data!R246=$B$6),OR($B$7="All",Processed_Data!N246=$B$7))</f>
        <v>1</v>
      </c>
      <c r="AC246">
        <f>IF($AB246=1,Processed_Data!J246,"")</f>
        <v>5499</v>
      </c>
      <c r="AD246">
        <f>IF($AB246=1,Processed_Data!L246,0)</f>
        <v>0</v>
      </c>
      <c r="AE246">
        <f>IF($AB246=1,--(Processed_Data!M246="On Sale"),0)</f>
        <v>0</v>
      </c>
      <c r="AF246" t="str">
        <f>IF(AND($AB246=1,Processed_Data!C246="J."),Processed_Data!J246,"")</f>
        <v/>
      </c>
      <c r="AG246" t="str">
        <f>IF(AND($AB246=1,Processed_Data!C246="Maria.B"),Processed_Data!J246,"")</f>
        <v/>
      </c>
      <c r="AH246">
        <f>IF(AND($AB246=1,Processed_Data!C246="Sana Safinaz"),Processed_Data!J246,"")</f>
        <v>5499</v>
      </c>
      <c r="AI246">
        <f>IF(AND($AB246=1,Processed_Data!C246="J."),Processed_Data!L246,0)</f>
        <v>0</v>
      </c>
      <c r="AJ246">
        <f>IF(AND($AB246=1,Processed_Data!C246="Maria.B"),Processed_Data!L246,0)</f>
        <v>0</v>
      </c>
      <c r="AK246">
        <f>IF(AND($AB246=1,Processed_Data!C246="Sana Safinaz"),Processed_Data!L246,0)</f>
        <v>0</v>
      </c>
    </row>
    <row r="247" spans="21:37">
      <c r="U247" s="4" t="e">
        <f>IF(AND($AB247=1,Processed_Data!C247="J."),Processed_Data!J247,NA())</f>
        <v>#N/A</v>
      </c>
      <c r="V247" s="8" t="e">
        <f>IF(AND($AB247=1,Processed_Data!C247="J."),Processed_Data!L247/100,NA())</f>
        <v>#N/A</v>
      </c>
      <c r="W247" s="4" t="e">
        <f>IF(AND($AB247=1,Processed_Data!C247="Maria.B"),Processed_Data!J247,NA())</f>
        <v>#N/A</v>
      </c>
      <c r="X247" s="8" t="e">
        <f>IF(AND($AB247=1,Processed_Data!C247="Maria.B"),Processed_Data!L247/100,NA())</f>
        <v>#N/A</v>
      </c>
      <c r="Y247" s="4">
        <f>IF(AND($AB247=1,Processed_Data!C247="Sana Safinaz"),Processed_Data!J247,NA())</f>
        <v>5499</v>
      </c>
      <c r="Z247" s="8">
        <f>IF(AND($AB247=1,Processed_Data!C247="Sana Safinaz"),Processed_Data!L247/100,NA())</f>
        <v>0</v>
      </c>
      <c r="AB247">
        <f>--AND(OR($B$2="All",Processed_Data!C247=$B$2),OR($B$3="All",Processed_Data!F247=$B$3),OR($B$4="All",Processed_Data!G247=$B$4),OR($B$5="All",Processed_Data!H247=$B$5),OR($B$6="All",Processed_Data!R247=$B$6),OR($B$7="All",Processed_Data!N247=$B$7))</f>
        <v>1</v>
      </c>
      <c r="AC247">
        <f>IF($AB247=1,Processed_Data!J247,"")</f>
        <v>5499</v>
      </c>
      <c r="AD247">
        <f>IF($AB247=1,Processed_Data!L247,0)</f>
        <v>0</v>
      </c>
      <c r="AE247">
        <f>IF($AB247=1,--(Processed_Data!M247="On Sale"),0)</f>
        <v>0</v>
      </c>
      <c r="AF247" t="str">
        <f>IF(AND($AB247=1,Processed_Data!C247="J."),Processed_Data!J247,"")</f>
        <v/>
      </c>
      <c r="AG247" t="str">
        <f>IF(AND($AB247=1,Processed_Data!C247="Maria.B"),Processed_Data!J247,"")</f>
        <v/>
      </c>
      <c r="AH247">
        <f>IF(AND($AB247=1,Processed_Data!C247="Sana Safinaz"),Processed_Data!J247,"")</f>
        <v>5499</v>
      </c>
      <c r="AI247">
        <f>IF(AND($AB247=1,Processed_Data!C247="J."),Processed_Data!L247,0)</f>
        <v>0</v>
      </c>
      <c r="AJ247">
        <f>IF(AND($AB247=1,Processed_Data!C247="Maria.B"),Processed_Data!L247,0)</f>
        <v>0</v>
      </c>
      <c r="AK247">
        <f>IF(AND($AB247=1,Processed_Data!C247="Sana Safinaz"),Processed_Data!L247,0)</f>
        <v>0</v>
      </c>
    </row>
    <row r="248" spans="21:37">
      <c r="U248" s="4" t="e">
        <f>IF(AND($AB248=1,Processed_Data!C248="J."),Processed_Data!J248,NA())</f>
        <v>#N/A</v>
      </c>
      <c r="V248" s="8" t="e">
        <f>IF(AND($AB248=1,Processed_Data!C248="J."),Processed_Data!L248/100,NA())</f>
        <v>#N/A</v>
      </c>
      <c r="W248" s="4" t="e">
        <f>IF(AND($AB248=1,Processed_Data!C248="Maria.B"),Processed_Data!J248,NA())</f>
        <v>#N/A</v>
      </c>
      <c r="X248" s="8" t="e">
        <f>IF(AND($AB248=1,Processed_Data!C248="Maria.B"),Processed_Data!L248/100,NA())</f>
        <v>#N/A</v>
      </c>
      <c r="Y248" s="4">
        <f>IF(AND($AB248=1,Processed_Data!C248="Sana Safinaz"),Processed_Data!J248,NA())</f>
        <v>12999</v>
      </c>
      <c r="Z248" s="8">
        <f>IF(AND($AB248=1,Processed_Data!C248="Sana Safinaz"),Processed_Data!L248/100,NA())</f>
        <v>0</v>
      </c>
      <c r="AB248">
        <f>--AND(OR($B$2="All",Processed_Data!C248=$B$2),OR($B$3="All",Processed_Data!F248=$B$3),OR($B$4="All",Processed_Data!G248=$B$4),OR($B$5="All",Processed_Data!H248=$B$5),OR($B$6="All",Processed_Data!R248=$B$6),OR($B$7="All",Processed_Data!N248=$B$7))</f>
        <v>1</v>
      </c>
      <c r="AC248">
        <f>IF($AB248=1,Processed_Data!J248,"")</f>
        <v>12999</v>
      </c>
      <c r="AD248">
        <f>IF($AB248=1,Processed_Data!L248,0)</f>
        <v>0</v>
      </c>
      <c r="AE248">
        <f>IF($AB248=1,--(Processed_Data!M248="On Sale"),0)</f>
        <v>0</v>
      </c>
      <c r="AF248" t="str">
        <f>IF(AND($AB248=1,Processed_Data!C248="J."),Processed_Data!J248,"")</f>
        <v/>
      </c>
      <c r="AG248" t="str">
        <f>IF(AND($AB248=1,Processed_Data!C248="Maria.B"),Processed_Data!J248,"")</f>
        <v/>
      </c>
      <c r="AH248">
        <f>IF(AND($AB248=1,Processed_Data!C248="Sana Safinaz"),Processed_Data!J248,"")</f>
        <v>12999</v>
      </c>
      <c r="AI248">
        <f>IF(AND($AB248=1,Processed_Data!C248="J."),Processed_Data!L248,0)</f>
        <v>0</v>
      </c>
      <c r="AJ248">
        <f>IF(AND($AB248=1,Processed_Data!C248="Maria.B"),Processed_Data!L248,0)</f>
        <v>0</v>
      </c>
      <c r="AK248">
        <f>IF(AND($AB248=1,Processed_Data!C248="Sana Safinaz"),Processed_Data!L248,0)</f>
        <v>0</v>
      </c>
    </row>
    <row r="249" spans="21:37">
      <c r="U249" s="4" t="e">
        <f>IF(AND($AB249=1,Processed_Data!C249="J."),Processed_Data!J249,NA())</f>
        <v>#N/A</v>
      </c>
      <c r="V249" s="8" t="e">
        <f>IF(AND($AB249=1,Processed_Data!C249="J."),Processed_Data!L249/100,NA())</f>
        <v>#N/A</v>
      </c>
      <c r="W249" s="4" t="e">
        <f>IF(AND($AB249=1,Processed_Data!C249="Maria.B"),Processed_Data!J249,NA())</f>
        <v>#N/A</v>
      </c>
      <c r="X249" s="8" t="e">
        <f>IF(AND($AB249=1,Processed_Data!C249="Maria.B"),Processed_Data!L249/100,NA())</f>
        <v>#N/A</v>
      </c>
      <c r="Y249" s="4">
        <f>IF(AND($AB249=1,Processed_Data!C249="Sana Safinaz"),Processed_Data!J249,NA())</f>
        <v>19899</v>
      </c>
      <c r="Z249" s="8">
        <f>IF(AND($AB249=1,Processed_Data!C249="Sana Safinaz"),Processed_Data!L249/100,NA())</f>
        <v>0</v>
      </c>
      <c r="AB249">
        <f>--AND(OR($B$2="All",Processed_Data!C249=$B$2),OR($B$3="All",Processed_Data!F249=$B$3),OR($B$4="All",Processed_Data!G249=$B$4),OR($B$5="All",Processed_Data!H249=$B$5),OR($B$6="All",Processed_Data!R249=$B$6),OR($B$7="All",Processed_Data!N249=$B$7))</f>
        <v>1</v>
      </c>
      <c r="AC249">
        <f>IF($AB249=1,Processed_Data!J249,"")</f>
        <v>19899</v>
      </c>
      <c r="AD249">
        <f>IF($AB249=1,Processed_Data!L249,0)</f>
        <v>0</v>
      </c>
      <c r="AE249">
        <f>IF($AB249=1,--(Processed_Data!M249="On Sale"),0)</f>
        <v>0</v>
      </c>
      <c r="AF249" t="str">
        <f>IF(AND($AB249=1,Processed_Data!C249="J."),Processed_Data!J249,"")</f>
        <v/>
      </c>
      <c r="AG249" t="str">
        <f>IF(AND($AB249=1,Processed_Data!C249="Maria.B"),Processed_Data!J249,"")</f>
        <v/>
      </c>
      <c r="AH249">
        <f>IF(AND($AB249=1,Processed_Data!C249="Sana Safinaz"),Processed_Data!J249,"")</f>
        <v>19899</v>
      </c>
      <c r="AI249">
        <f>IF(AND($AB249=1,Processed_Data!C249="J."),Processed_Data!L249,0)</f>
        <v>0</v>
      </c>
      <c r="AJ249">
        <f>IF(AND($AB249=1,Processed_Data!C249="Maria.B"),Processed_Data!L249,0)</f>
        <v>0</v>
      </c>
      <c r="AK249">
        <f>IF(AND($AB249=1,Processed_Data!C249="Sana Safinaz"),Processed_Data!L249,0)</f>
        <v>0</v>
      </c>
    </row>
    <row r="250" spans="21:37">
      <c r="U250" s="4" t="e">
        <f>IF(AND($AB250=1,Processed_Data!C250="J."),Processed_Data!J250,NA())</f>
        <v>#N/A</v>
      </c>
      <c r="V250" s="8" t="e">
        <f>IF(AND($AB250=1,Processed_Data!C250="J."),Processed_Data!L250/100,NA())</f>
        <v>#N/A</v>
      </c>
      <c r="W250" s="4" t="e">
        <f>IF(AND($AB250=1,Processed_Data!C250="Maria.B"),Processed_Data!J250,NA())</f>
        <v>#N/A</v>
      </c>
      <c r="X250" s="8" t="e">
        <f>IF(AND($AB250=1,Processed_Data!C250="Maria.B"),Processed_Data!L250/100,NA())</f>
        <v>#N/A</v>
      </c>
      <c r="Y250" s="4">
        <f>IF(AND($AB250=1,Processed_Data!C250="Sana Safinaz"),Processed_Data!J250,NA())</f>
        <v>12999</v>
      </c>
      <c r="Z250" s="8">
        <f>IF(AND($AB250=1,Processed_Data!C250="Sana Safinaz"),Processed_Data!L250/100,NA())</f>
        <v>0</v>
      </c>
      <c r="AB250">
        <f>--AND(OR($B$2="All",Processed_Data!C250=$B$2),OR($B$3="All",Processed_Data!F250=$B$3),OR($B$4="All",Processed_Data!G250=$B$4),OR($B$5="All",Processed_Data!H250=$B$5),OR($B$6="All",Processed_Data!R250=$B$6),OR($B$7="All",Processed_Data!N250=$B$7))</f>
        <v>1</v>
      </c>
      <c r="AC250">
        <f>IF($AB250=1,Processed_Data!J250,"")</f>
        <v>12999</v>
      </c>
      <c r="AD250">
        <f>IF($AB250=1,Processed_Data!L250,0)</f>
        <v>0</v>
      </c>
      <c r="AE250">
        <f>IF($AB250=1,--(Processed_Data!M250="On Sale"),0)</f>
        <v>0</v>
      </c>
      <c r="AF250" t="str">
        <f>IF(AND($AB250=1,Processed_Data!C250="J."),Processed_Data!J250,"")</f>
        <v/>
      </c>
      <c r="AG250" t="str">
        <f>IF(AND($AB250=1,Processed_Data!C250="Maria.B"),Processed_Data!J250,"")</f>
        <v/>
      </c>
      <c r="AH250">
        <f>IF(AND($AB250=1,Processed_Data!C250="Sana Safinaz"),Processed_Data!J250,"")</f>
        <v>12999</v>
      </c>
      <c r="AI250">
        <f>IF(AND($AB250=1,Processed_Data!C250="J."),Processed_Data!L250,0)</f>
        <v>0</v>
      </c>
      <c r="AJ250">
        <f>IF(AND($AB250=1,Processed_Data!C250="Maria.B"),Processed_Data!L250,0)</f>
        <v>0</v>
      </c>
      <c r="AK250">
        <f>IF(AND($AB250=1,Processed_Data!C250="Sana Safinaz"),Processed_Data!L250,0)</f>
        <v>0</v>
      </c>
    </row>
    <row r="251" spans="21:37">
      <c r="U251" s="4" t="e">
        <f>IF(AND($AB251=1,Processed_Data!C251="J."),Processed_Data!J251,NA())</f>
        <v>#N/A</v>
      </c>
      <c r="V251" s="8" t="e">
        <f>IF(AND($AB251=1,Processed_Data!C251="J."),Processed_Data!L251/100,NA())</f>
        <v>#N/A</v>
      </c>
      <c r="W251" s="4" t="e">
        <f>IF(AND($AB251=1,Processed_Data!C251="Maria.B"),Processed_Data!J251,NA())</f>
        <v>#N/A</v>
      </c>
      <c r="X251" s="8" t="e">
        <f>IF(AND($AB251=1,Processed_Data!C251="Maria.B"),Processed_Data!L251/100,NA())</f>
        <v>#N/A</v>
      </c>
      <c r="Y251" s="4">
        <f>IF(AND($AB251=1,Processed_Data!C251="Sana Safinaz"),Processed_Data!J251,NA())</f>
        <v>12999</v>
      </c>
      <c r="Z251" s="8">
        <f>IF(AND($AB251=1,Processed_Data!C251="Sana Safinaz"),Processed_Data!L251/100,NA())</f>
        <v>0</v>
      </c>
      <c r="AB251">
        <f>--AND(OR($B$2="All",Processed_Data!C251=$B$2),OR($B$3="All",Processed_Data!F251=$B$3),OR($B$4="All",Processed_Data!G251=$B$4),OR($B$5="All",Processed_Data!H251=$B$5),OR($B$6="All",Processed_Data!R251=$B$6),OR($B$7="All",Processed_Data!N251=$B$7))</f>
        <v>1</v>
      </c>
      <c r="AC251">
        <f>IF($AB251=1,Processed_Data!J251,"")</f>
        <v>12999</v>
      </c>
      <c r="AD251">
        <f>IF($AB251=1,Processed_Data!L251,0)</f>
        <v>0</v>
      </c>
      <c r="AE251">
        <f>IF($AB251=1,--(Processed_Data!M251="On Sale"),0)</f>
        <v>0</v>
      </c>
      <c r="AF251" t="str">
        <f>IF(AND($AB251=1,Processed_Data!C251="J."),Processed_Data!J251,"")</f>
        <v/>
      </c>
      <c r="AG251" t="str">
        <f>IF(AND($AB251=1,Processed_Data!C251="Maria.B"),Processed_Data!J251,"")</f>
        <v/>
      </c>
      <c r="AH251">
        <f>IF(AND($AB251=1,Processed_Data!C251="Sana Safinaz"),Processed_Data!J251,"")</f>
        <v>12999</v>
      </c>
      <c r="AI251">
        <f>IF(AND($AB251=1,Processed_Data!C251="J."),Processed_Data!L251,0)</f>
        <v>0</v>
      </c>
      <c r="AJ251">
        <f>IF(AND($AB251=1,Processed_Data!C251="Maria.B"),Processed_Data!L251,0)</f>
        <v>0</v>
      </c>
      <c r="AK251">
        <f>IF(AND($AB251=1,Processed_Data!C251="Sana Safinaz"),Processed_Data!L251,0)</f>
        <v>0</v>
      </c>
    </row>
    <row r="252" spans="21:37">
      <c r="U252" s="4" t="e">
        <f>IF(AND($AB252=1,Processed_Data!C252="J."),Processed_Data!J252,NA())</f>
        <v>#N/A</v>
      </c>
      <c r="V252" s="8" t="e">
        <f>IF(AND($AB252=1,Processed_Data!C252="J."),Processed_Data!L252/100,NA())</f>
        <v>#N/A</v>
      </c>
      <c r="W252" s="4" t="e">
        <f>IF(AND($AB252=1,Processed_Data!C252="Maria.B"),Processed_Data!J252,NA())</f>
        <v>#N/A</v>
      </c>
      <c r="X252" s="8" t="e">
        <f>IF(AND($AB252=1,Processed_Data!C252="Maria.B"),Processed_Data!L252/100,NA())</f>
        <v>#N/A</v>
      </c>
      <c r="Y252" s="4">
        <f>IF(AND($AB252=1,Processed_Data!C252="Sana Safinaz"),Processed_Data!J252,NA())</f>
        <v>136499</v>
      </c>
      <c r="Z252" s="8">
        <f>IF(AND($AB252=1,Processed_Data!C252="Sana Safinaz"),Processed_Data!L252/100,NA())</f>
        <v>0</v>
      </c>
      <c r="AB252">
        <f>--AND(OR($B$2="All",Processed_Data!C252=$B$2),OR($B$3="All",Processed_Data!F252=$B$3),OR($B$4="All",Processed_Data!G252=$B$4),OR($B$5="All",Processed_Data!H252=$B$5),OR($B$6="All",Processed_Data!R252=$B$6),OR($B$7="All",Processed_Data!N252=$B$7))</f>
        <v>1</v>
      </c>
      <c r="AC252">
        <f>IF($AB252=1,Processed_Data!J252,"")</f>
        <v>136499</v>
      </c>
      <c r="AD252">
        <f>IF($AB252=1,Processed_Data!L252,0)</f>
        <v>0</v>
      </c>
      <c r="AE252">
        <f>IF($AB252=1,--(Processed_Data!M252="On Sale"),0)</f>
        <v>0</v>
      </c>
      <c r="AF252" t="str">
        <f>IF(AND($AB252=1,Processed_Data!C252="J."),Processed_Data!J252,"")</f>
        <v/>
      </c>
      <c r="AG252" t="str">
        <f>IF(AND($AB252=1,Processed_Data!C252="Maria.B"),Processed_Data!J252,"")</f>
        <v/>
      </c>
      <c r="AH252">
        <f>IF(AND($AB252=1,Processed_Data!C252="Sana Safinaz"),Processed_Data!J252,"")</f>
        <v>136499</v>
      </c>
      <c r="AI252">
        <f>IF(AND($AB252=1,Processed_Data!C252="J."),Processed_Data!L252,0)</f>
        <v>0</v>
      </c>
      <c r="AJ252">
        <f>IF(AND($AB252=1,Processed_Data!C252="Maria.B"),Processed_Data!L252,0)</f>
        <v>0</v>
      </c>
      <c r="AK252">
        <f>IF(AND($AB252=1,Processed_Data!C252="Sana Safinaz"),Processed_Data!L252,0)</f>
        <v>0</v>
      </c>
    </row>
    <row r="253" spans="21:37">
      <c r="U253" s="4" t="e">
        <f>IF(AND($AB253=1,Processed_Data!C253="J."),Processed_Data!J253,NA())</f>
        <v>#N/A</v>
      </c>
      <c r="V253" s="8" t="e">
        <f>IF(AND($AB253=1,Processed_Data!C253="J."),Processed_Data!L253/100,NA())</f>
        <v>#N/A</v>
      </c>
      <c r="W253" s="4" t="e">
        <f>IF(AND($AB253=1,Processed_Data!C253="Maria.B"),Processed_Data!J253,NA())</f>
        <v>#N/A</v>
      </c>
      <c r="X253" s="8" t="e">
        <f>IF(AND($AB253=1,Processed_Data!C253="Maria.B"),Processed_Data!L253/100,NA())</f>
        <v>#N/A</v>
      </c>
      <c r="Y253" s="4">
        <f>IF(AND($AB253=1,Processed_Data!C253="Sana Safinaz"),Processed_Data!J253,NA())</f>
        <v>33599</v>
      </c>
      <c r="Z253" s="8">
        <f>IF(AND($AB253=1,Processed_Data!C253="Sana Safinaz"),Processed_Data!L253/100,NA())</f>
        <v>0.3</v>
      </c>
      <c r="AB253">
        <f>--AND(OR($B$2="All",Processed_Data!C253=$B$2),OR($B$3="All",Processed_Data!F253=$B$3),OR($B$4="All",Processed_Data!G253=$B$4),OR($B$5="All",Processed_Data!H253=$B$5),OR($B$6="All",Processed_Data!R253=$B$6),OR($B$7="All",Processed_Data!N253=$B$7))</f>
        <v>1</v>
      </c>
      <c r="AC253">
        <f>IF($AB253=1,Processed_Data!J253,"")</f>
        <v>33599</v>
      </c>
      <c r="AD253">
        <f>IF($AB253=1,Processed_Data!L253,0)</f>
        <v>30</v>
      </c>
      <c r="AE253">
        <f>IF($AB253=1,--(Processed_Data!M253="On Sale"),0)</f>
        <v>1</v>
      </c>
      <c r="AF253" t="str">
        <f>IF(AND($AB253=1,Processed_Data!C253="J."),Processed_Data!J253,"")</f>
        <v/>
      </c>
      <c r="AG253" t="str">
        <f>IF(AND($AB253=1,Processed_Data!C253="Maria.B"),Processed_Data!J253,"")</f>
        <v/>
      </c>
      <c r="AH253">
        <f>IF(AND($AB253=1,Processed_Data!C253="Sana Safinaz"),Processed_Data!J253,"")</f>
        <v>33599</v>
      </c>
      <c r="AI253">
        <f>IF(AND($AB253=1,Processed_Data!C253="J."),Processed_Data!L253,0)</f>
        <v>0</v>
      </c>
      <c r="AJ253">
        <f>IF(AND($AB253=1,Processed_Data!C253="Maria.B"),Processed_Data!L253,0)</f>
        <v>0</v>
      </c>
      <c r="AK253">
        <f>IF(AND($AB253=1,Processed_Data!C253="Sana Safinaz"),Processed_Data!L253,0)</f>
        <v>30</v>
      </c>
    </row>
    <row r="254" spans="21:37">
      <c r="U254" s="4" t="e">
        <f>IF(AND($AB254=1,Processed_Data!C254="J."),Processed_Data!J254,NA())</f>
        <v>#N/A</v>
      </c>
      <c r="V254" s="8" t="e">
        <f>IF(AND($AB254=1,Processed_Data!C254="J."),Processed_Data!L254/100,NA())</f>
        <v>#N/A</v>
      </c>
      <c r="W254" s="4" t="e">
        <f>IF(AND($AB254=1,Processed_Data!C254="Maria.B"),Processed_Data!J254,NA())</f>
        <v>#N/A</v>
      </c>
      <c r="X254" s="8" t="e">
        <f>IF(AND($AB254=1,Processed_Data!C254="Maria.B"),Processed_Data!L254/100,NA())</f>
        <v>#N/A</v>
      </c>
      <c r="Y254" s="4">
        <f>IF(AND($AB254=1,Processed_Data!C254="Sana Safinaz"),Processed_Data!J254,NA())</f>
        <v>117599</v>
      </c>
      <c r="Z254" s="8">
        <f>IF(AND($AB254=1,Processed_Data!C254="Sana Safinaz"),Processed_Data!L254/100,NA())</f>
        <v>0</v>
      </c>
      <c r="AB254">
        <f>--AND(OR($B$2="All",Processed_Data!C254=$B$2),OR($B$3="All",Processed_Data!F254=$B$3),OR($B$4="All",Processed_Data!G254=$B$4),OR($B$5="All",Processed_Data!H254=$B$5),OR($B$6="All",Processed_Data!R254=$B$6),OR($B$7="All",Processed_Data!N254=$B$7))</f>
        <v>1</v>
      </c>
      <c r="AC254">
        <f>IF($AB254=1,Processed_Data!J254,"")</f>
        <v>117599</v>
      </c>
      <c r="AD254">
        <f>IF($AB254=1,Processed_Data!L254,0)</f>
        <v>0</v>
      </c>
      <c r="AE254">
        <f>IF($AB254=1,--(Processed_Data!M254="On Sale"),0)</f>
        <v>0</v>
      </c>
      <c r="AF254" t="str">
        <f>IF(AND($AB254=1,Processed_Data!C254="J."),Processed_Data!J254,"")</f>
        <v/>
      </c>
      <c r="AG254" t="str">
        <f>IF(AND($AB254=1,Processed_Data!C254="Maria.B"),Processed_Data!J254,"")</f>
        <v/>
      </c>
      <c r="AH254">
        <f>IF(AND($AB254=1,Processed_Data!C254="Sana Safinaz"),Processed_Data!J254,"")</f>
        <v>117599</v>
      </c>
      <c r="AI254">
        <f>IF(AND($AB254=1,Processed_Data!C254="J."),Processed_Data!L254,0)</f>
        <v>0</v>
      </c>
      <c r="AJ254">
        <f>IF(AND($AB254=1,Processed_Data!C254="Maria.B"),Processed_Data!L254,0)</f>
        <v>0</v>
      </c>
      <c r="AK254">
        <f>IF(AND($AB254=1,Processed_Data!C254="Sana Safinaz"),Processed_Data!L254,0)</f>
        <v>0</v>
      </c>
    </row>
    <row r="255" spans="21:37">
      <c r="U255" s="4" t="e">
        <f>IF(AND($AB255=1,Processed_Data!C255="J."),Processed_Data!J255,NA())</f>
        <v>#N/A</v>
      </c>
      <c r="V255" s="8" t="e">
        <f>IF(AND($AB255=1,Processed_Data!C255="J."),Processed_Data!L255/100,NA())</f>
        <v>#N/A</v>
      </c>
      <c r="W255" s="4" t="e">
        <f>IF(AND($AB255=1,Processed_Data!C255="Maria.B"),Processed_Data!J255,NA())</f>
        <v>#N/A</v>
      </c>
      <c r="X255" s="8" t="e">
        <f>IF(AND($AB255=1,Processed_Data!C255="Maria.B"),Processed_Data!L255/100,NA())</f>
        <v>#N/A</v>
      </c>
      <c r="Y255" s="4">
        <f>IF(AND($AB255=1,Processed_Data!C255="Sana Safinaz"),Processed_Data!J255,NA())</f>
        <v>168599</v>
      </c>
      <c r="Z255" s="8">
        <f>IF(AND($AB255=1,Processed_Data!C255="Sana Safinaz"),Processed_Data!L255/100,NA())</f>
        <v>0</v>
      </c>
      <c r="AB255">
        <f>--AND(OR($B$2="All",Processed_Data!C255=$B$2),OR($B$3="All",Processed_Data!F255=$B$3),OR($B$4="All",Processed_Data!G255=$B$4),OR($B$5="All",Processed_Data!H255=$B$5),OR($B$6="All",Processed_Data!R255=$B$6),OR($B$7="All",Processed_Data!N255=$B$7))</f>
        <v>1</v>
      </c>
      <c r="AC255">
        <f>IF($AB255=1,Processed_Data!J255,"")</f>
        <v>168599</v>
      </c>
      <c r="AD255">
        <f>IF($AB255=1,Processed_Data!L255,0)</f>
        <v>0</v>
      </c>
      <c r="AE255">
        <f>IF($AB255=1,--(Processed_Data!M255="On Sale"),0)</f>
        <v>0</v>
      </c>
      <c r="AF255" t="str">
        <f>IF(AND($AB255=1,Processed_Data!C255="J."),Processed_Data!J255,"")</f>
        <v/>
      </c>
      <c r="AG255" t="str">
        <f>IF(AND($AB255=1,Processed_Data!C255="Maria.B"),Processed_Data!J255,"")</f>
        <v/>
      </c>
      <c r="AH255">
        <f>IF(AND($AB255=1,Processed_Data!C255="Sana Safinaz"),Processed_Data!J255,"")</f>
        <v>168599</v>
      </c>
      <c r="AI255">
        <f>IF(AND($AB255=1,Processed_Data!C255="J."),Processed_Data!L255,0)</f>
        <v>0</v>
      </c>
      <c r="AJ255">
        <f>IF(AND($AB255=1,Processed_Data!C255="Maria.B"),Processed_Data!L255,0)</f>
        <v>0</v>
      </c>
      <c r="AK255">
        <f>IF(AND($AB255=1,Processed_Data!C255="Sana Safinaz"),Processed_Data!L255,0)</f>
        <v>0</v>
      </c>
    </row>
    <row r="256" spans="21:37">
      <c r="U256" s="4" t="e">
        <f>IF(AND($AB256=1,Processed_Data!C256="J."),Processed_Data!J256,NA())</f>
        <v>#N/A</v>
      </c>
      <c r="V256" s="8" t="e">
        <f>IF(AND($AB256=1,Processed_Data!C256="J."),Processed_Data!L256/100,NA())</f>
        <v>#N/A</v>
      </c>
      <c r="W256" s="4" t="e">
        <f>IF(AND($AB256=1,Processed_Data!C256="Maria.B"),Processed_Data!J256,NA())</f>
        <v>#N/A</v>
      </c>
      <c r="X256" s="8" t="e">
        <f>IF(AND($AB256=1,Processed_Data!C256="Maria.B"),Processed_Data!L256/100,NA())</f>
        <v>#N/A</v>
      </c>
      <c r="Y256" s="4">
        <f>IF(AND($AB256=1,Processed_Data!C256="Sana Safinaz"),Processed_Data!J256,NA())</f>
        <v>27199</v>
      </c>
      <c r="Z256" s="8">
        <f>IF(AND($AB256=1,Processed_Data!C256="Sana Safinaz"),Processed_Data!L256/100,NA())</f>
        <v>0.2</v>
      </c>
      <c r="AB256">
        <f>--AND(OR($B$2="All",Processed_Data!C256=$B$2),OR($B$3="All",Processed_Data!F256=$B$3),OR($B$4="All",Processed_Data!G256=$B$4),OR($B$5="All",Processed_Data!H256=$B$5),OR($B$6="All",Processed_Data!R256=$B$6),OR($B$7="All",Processed_Data!N256=$B$7))</f>
        <v>1</v>
      </c>
      <c r="AC256">
        <f>IF($AB256=1,Processed_Data!J256,"")</f>
        <v>27199</v>
      </c>
      <c r="AD256">
        <f>IF($AB256=1,Processed_Data!L256,0)</f>
        <v>20</v>
      </c>
      <c r="AE256">
        <f>IF($AB256=1,--(Processed_Data!M256="On Sale"),0)</f>
        <v>1</v>
      </c>
      <c r="AF256" t="str">
        <f>IF(AND($AB256=1,Processed_Data!C256="J."),Processed_Data!J256,"")</f>
        <v/>
      </c>
      <c r="AG256" t="str">
        <f>IF(AND($AB256=1,Processed_Data!C256="Maria.B"),Processed_Data!J256,"")</f>
        <v/>
      </c>
      <c r="AH256">
        <f>IF(AND($AB256=1,Processed_Data!C256="Sana Safinaz"),Processed_Data!J256,"")</f>
        <v>27199</v>
      </c>
      <c r="AI256">
        <f>IF(AND($AB256=1,Processed_Data!C256="J."),Processed_Data!L256,0)</f>
        <v>0</v>
      </c>
      <c r="AJ256">
        <f>IF(AND($AB256=1,Processed_Data!C256="Maria.B"),Processed_Data!L256,0)</f>
        <v>0</v>
      </c>
      <c r="AK256">
        <f>IF(AND($AB256=1,Processed_Data!C256="Sana Safinaz"),Processed_Data!L256,0)</f>
        <v>20</v>
      </c>
    </row>
    <row r="257" spans="21:37">
      <c r="U257" s="4" t="e">
        <f>IF(AND($AB257=1,Processed_Data!C257="J."),Processed_Data!J257,NA())</f>
        <v>#N/A</v>
      </c>
      <c r="V257" s="8" t="e">
        <f>IF(AND($AB257=1,Processed_Data!C257="J."),Processed_Data!L257/100,NA())</f>
        <v>#N/A</v>
      </c>
      <c r="W257" s="4" t="e">
        <f>IF(AND($AB257=1,Processed_Data!C257="Maria.B"),Processed_Data!J257,NA())</f>
        <v>#N/A</v>
      </c>
      <c r="X257" s="8" t="e">
        <f>IF(AND($AB257=1,Processed_Data!C257="Maria.B"),Processed_Data!L257/100,NA())</f>
        <v>#N/A</v>
      </c>
      <c r="Y257" s="4">
        <f>IF(AND($AB257=1,Processed_Data!C257="Sana Safinaz"),Processed_Data!J257,NA())</f>
        <v>36749</v>
      </c>
      <c r="Z257" s="8">
        <f>IF(AND($AB257=1,Processed_Data!C257="Sana Safinaz"),Processed_Data!L257/100,NA())</f>
        <v>0.3</v>
      </c>
      <c r="AB257">
        <f>--AND(OR($B$2="All",Processed_Data!C257=$B$2),OR($B$3="All",Processed_Data!F257=$B$3),OR($B$4="All",Processed_Data!G257=$B$4),OR($B$5="All",Processed_Data!H257=$B$5),OR($B$6="All",Processed_Data!R257=$B$6),OR($B$7="All",Processed_Data!N257=$B$7))</f>
        <v>1</v>
      </c>
      <c r="AC257">
        <f>IF($AB257=1,Processed_Data!J257,"")</f>
        <v>36749</v>
      </c>
      <c r="AD257">
        <f>IF($AB257=1,Processed_Data!L257,0)</f>
        <v>30</v>
      </c>
      <c r="AE257">
        <f>IF($AB257=1,--(Processed_Data!M257="On Sale"),0)</f>
        <v>1</v>
      </c>
      <c r="AF257" t="str">
        <f>IF(AND($AB257=1,Processed_Data!C257="J."),Processed_Data!J257,"")</f>
        <v/>
      </c>
      <c r="AG257" t="str">
        <f>IF(AND($AB257=1,Processed_Data!C257="Maria.B"),Processed_Data!J257,"")</f>
        <v/>
      </c>
      <c r="AH257">
        <f>IF(AND($AB257=1,Processed_Data!C257="Sana Safinaz"),Processed_Data!J257,"")</f>
        <v>36749</v>
      </c>
      <c r="AI257">
        <f>IF(AND($AB257=1,Processed_Data!C257="J."),Processed_Data!L257,0)</f>
        <v>0</v>
      </c>
      <c r="AJ257">
        <f>IF(AND($AB257=1,Processed_Data!C257="Maria.B"),Processed_Data!L257,0)</f>
        <v>0</v>
      </c>
      <c r="AK257">
        <f>IF(AND($AB257=1,Processed_Data!C257="Sana Safinaz"),Processed_Data!L257,0)</f>
        <v>30</v>
      </c>
    </row>
    <row r="258" spans="21:37">
      <c r="U258" s="4" t="e">
        <f>IF(AND($AB258=1,Processed_Data!C258="J."),Processed_Data!J258,NA())</f>
        <v>#N/A</v>
      </c>
      <c r="V258" s="8" t="e">
        <f>IF(AND($AB258=1,Processed_Data!C258="J."),Processed_Data!L258/100,NA())</f>
        <v>#N/A</v>
      </c>
      <c r="W258" s="4" t="e">
        <f>IF(AND($AB258=1,Processed_Data!C258="Maria.B"),Processed_Data!J258,NA())</f>
        <v>#N/A</v>
      </c>
      <c r="X258" s="8" t="e">
        <f>IF(AND($AB258=1,Processed_Data!C258="Maria.B"),Processed_Data!L258/100,NA())</f>
        <v>#N/A</v>
      </c>
      <c r="Y258" s="4">
        <f>IF(AND($AB258=1,Processed_Data!C258="Sana Safinaz"),Processed_Data!J258,NA())</f>
        <v>5000</v>
      </c>
      <c r="Z258" s="8">
        <f>IF(AND($AB258=1,Processed_Data!C258="Sana Safinaz"),Processed_Data!L258/100,NA())</f>
        <v>0.49990000000000001</v>
      </c>
      <c r="AB258">
        <f>--AND(OR($B$2="All",Processed_Data!C258=$B$2),OR($B$3="All",Processed_Data!F258=$B$3),OR($B$4="All",Processed_Data!G258=$B$4),OR($B$5="All",Processed_Data!H258=$B$5),OR($B$6="All",Processed_Data!R258=$B$6),OR($B$7="All",Processed_Data!N258=$B$7))</f>
        <v>1</v>
      </c>
      <c r="AC258">
        <f>IF($AB258=1,Processed_Data!J258,"")</f>
        <v>5000</v>
      </c>
      <c r="AD258">
        <f>IF($AB258=1,Processed_Data!L258,0)</f>
        <v>49.99</v>
      </c>
      <c r="AE258">
        <f>IF($AB258=1,--(Processed_Data!M258="On Sale"),0)</f>
        <v>1</v>
      </c>
      <c r="AF258" t="str">
        <f>IF(AND($AB258=1,Processed_Data!C258="J."),Processed_Data!J258,"")</f>
        <v/>
      </c>
      <c r="AG258" t="str">
        <f>IF(AND($AB258=1,Processed_Data!C258="Maria.B"),Processed_Data!J258,"")</f>
        <v/>
      </c>
      <c r="AH258">
        <f>IF(AND($AB258=1,Processed_Data!C258="Sana Safinaz"),Processed_Data!J258,"")</f>
        <v>5000</v>
      </c>
      <c r="AI258">
        <f>IF(AND($AB258=1,Processed_Data!C258="J."),Processed_Data!L258,0)</f>
        <v>0</v>
      </c>
      <c r="AJ258">
        <f>IF(AND($AB258=1,Processed_Data!C258="Maria.B"),Processed_Data!L258,0)</f>
        <v>0</v>
      </c>
      <c r="AK258">
        <f>IF(AND($AB258=1,Processed_Data!C258="Sana Safinaz"),Processed_Data!L258,0)</f>
        <v>49.99</v>
      </c>
    </row>
    <row r="259" spans="21:37">
      <c r="U259" s="4" t="e">
        <f>IF(AND($AB259=1,Processed_Data!C259="J."),Processed_Data!J259,NA())</f>
        <v>#N/A</v>
      </c>
      <c r="V259" s="8" t="e">
        <f>IF(AND($AB259=1,Processed_Data!C259="J."),Processed_Data!L259/100,NA())</f>
        <v>#N/A</v>
      </c>
      <c r="W259" s="4" t="e">
        <f>IF(AND($AB259=1,Processed_Data!C259="Maria.B"),Processed_Data!J259,NA())</f>
        <v>#N/A</v>
      </c>
      <c r="X259" s="8" t="e">
        <f>IF(AND($AB259=1,Processed_Data!C259="Maria.B"),Processed_Data!L259/100,NA())</f>
        <v>#N/A</v>
      </c>
      <c r="Y259" s="4">
        <f>IF(AND($AB259=1,Processed_Data!C259="Sana Safinaz"),Processed_Data!J259,NA())</f>
        <v>16900</v>
      </c>
      <c r="Z259" s="8">
        <f>IF(AND($AB259=1,Processed_Data!C259="Sana Safinaz"),Processed_Data!L259/100,NA())</f>
        <v>0.5</v>
      </c>
      <c r="AB259">
        <f>--AND(OR($B$2="All",Processed_Data!C259=$B$2),OR($B$3="All",Processed_Data!F259=$B$3),OR($B$4="All",Processed_Data!G259=$B$4),OR($B$5="All",Processed_Data!H259=$B$5),OR($B$6="All",Processed_Data!R259=$B$6),OR($B$7="All",Processed_Data!N259=$B$7))</f>
        <v>1</v>
      </c>
      <c r="AC259">
        <f>IF($AB259=1,Processed_Data!J259,"")</f>
        <v>16900</v>
      </c>
      <c r="AD259">
        <f>IF($AB259=1,Processed_Data!L259,0)</f>
        <v>50</v>
      </c>
      <c r="AE259">
        <f>IF($AB259=1,--(Processed_Data!M259="On Sale"),0)</f>
        <v>1</v>
      </c>
      <c r="AF259" t="str">
        <f>IF(AND($AB259=1,Processed_Data!C259="J."),Processed_Data!J259,"")</f>
        <v/>
      </c>
      <c r="AG259" t="str">
        <f>IF(AND($AB259=1,Processed_Data!C259="Maria.B"),Processed_Data!J259,"")</f>
        <v/>
      </c>
      <c r="AH259">
        <f>IF(AND($AB259=1,Processed_Data!C259="Sana Safinaz"),Processed_Data!J259,"")</f>
        <v>16900</v>
      </c>
      <c r="AI259">
        <f>IF(AND($AB259=1,Processed_Data!C259="J."),Processed_Data!L259,0)</f>
        <v>0</v>
      </c>
      <c r="AJ259">
        <f>IF(AND($AB259=1,Processed_Data!C259="Maria.B"),Processed_Data!L259,0)</f>
        <v>0</v>
      </c>
      <c r="AK259">
        <f>IF(AND($AB259=1,Processed_Data!C259="Sana Safinaz"),Processed_Data!L259,0)</f>
        <v>50</v>
      </c>
    </row>
    <row r="260" spans="21:37">
      <c r="U260" s="4" t="e">
        <f>IF(AND($AB260=1,Processed_Data!C260="J."),Processed_Data!J260,NA())</f>
        <v>#N/A</v>
      </c>
      <c r="V260" s="8" t="e">
        <f>IF(AND($AB260=1,Processed_Data!C260="J."),Processed_Data!L260/100,NA())</f>
        <v>#N/A</v>
      </c>
      <c r="W260" s="4" t="e">
        <f>IF(AND($AB260=1,Processed_Data!C260="Maria.B"),Processed_Data!J260,NA())</f>
        <v>#N/A</v>
      </c>
      <c r="X260" s="8" t="e">
        <f>IF(AND($AB260=1,Processed_Data!C260="Maria.B"),Processed_Data!L260/100,NA())</f>
        <v>#N/A</v>
      </c>
      <c r="Y260" s="4">
        <f>IF(AND($AB260=1,Processed_Data!C260="Sana Safinaz"),Processed_Data!J260,NA())</f>
        <v>4320</v>
      </c>
      <c r="Z260" s="8">
        <f>IF(AND($AB260=1,Processed_Data!C260="Sana Safinaz"),Processed_Data!L260/100,NA())</f>
        <v>0.6</v>
      </c>
      <c r="AB260">
        <f>--AND(OR($B$2="All",Processed_Data!C260=$B$2),OR($B$3="All",Processed_Data!F260=$B$3),OR($B$4="All",Processed_Data!G260=$B$4),OR($B$5="All",Processed_Data!H260=$B$5),OR($B$6="All",Processed_Data!R260=$B$6),OR($B$7="All",Processed_Data!N260=$B$7))</f>
        <v>1</v>
      </c>
      <c r="AC260">
        <f>IF($AB260=1,Processed_Data!J260,"")</f>
        <v>4320</v>
      </c>
      <c r="AD260">
        <f>IF($AB260=1,Processed_Data!L260,0)</f>
        <v>60</v>
      </c>
      <c r="AE260">
        <f>IF($AB260=1,--(Processed_Data!M260="On Sale"),0)</f>
        <v>1</v>
      </c>
      <c r="AF260" t="str">
        <f>IF(AND($AB260=1,Processed_Data!C260="J."),Processed_Data!J260,"")</f>
        <v/>
      </c>
      <c r="AG260" t="str">
        <f>IF(AND($AB260=1,Processed_Data!C260="Maria.B"),Processed_Data!J260,"")</f>
        <v/>
      </c>
      <c r="AH260">
        <f>IF(AND($AB260=1,Processed_Data!C260="Sana Safinaz"),Processed_Data!J260,"")</f>
        <v>4320</v>
      </c>
      <c r="AI260">
        <f>IF(AND($AB260=1,Processed_Data!C260="J."),Processed_Data!L260,0)</f>
        <v>0</v>
      </c>
      <c r="AJ260">
        <f>IF(AND($AB260=1,Processed_Data!C260="Maria.B"),Processed_Data!L260,0)</f>
        <v>0</v>
      </c>
      <c r="AK260">
        <f>IF(AND($AB260=1,Processed_Data!C260="Sana Safinaz"),Processed_Data!L260,0)</f>
        <v>60</v>
      </c>
    </row>
    <row r="261" spans="21:37">
      <c r="U261" s="4" t="e">
        <f>IF(AND($AB261=1,Processed_Data!C261="J."),Processed_Data!J261,NA())</f>
        <v>#N/A</v>
      </c>
      <c r="V261" s="8" t="e">
        <f>IF(AND($AB261=1,Processed_Data!C261="J."),Processed_Data!L261/100,NA())</f>
        <v>#N/A</v>
      </c>
      <c r="W261" s="4" t="e">
        <f>IF(AND($AB261=1,Processed_Data!C261="Maria.B"),Processed_Data!J261,NA())</f>
        <v>#N/A</v>
      </c>
      <c r="X261" s="8" t="e">
        <f>IF(AND($AB261=1,Processed_Data!C261="Maria.B"),Processed_Data!L261/100,NA())</f>
        <v>#N/A</v>
      </c>
      <c r="Y261" s="4">
        <f>IF(AND($AB261=1,Processed_Data!C261="Sana Safinaz"),Processed_Data!J261,NA())</f>
        <v>15650</v>
      </c>
      <c r="Z261" s="8">
        <f>IF(AND($AB261=1,Processed_Data!C261="Sana Safinaz"),Processed_Data!L261/100,NA())</f>
        <v>0.5</v>
      </c>
      <c r="AB261">
        <f>--AND(OR($B$2="All",Processed_Data!C261=$B$2),OR($B$3="All",Processed_Data!F261=$B$3),OR($B$4="All",Processed_Data!G261=$B$4),OR($B$5="All",Processed_Data!H261=$B$5),OR($B$6="All",Processed_Data!R261=$B$6),OR($B$7="All",Processed_Data!N261=$B$7))</f>
        <v>1</v>
      </c>
      <c r="AC261">
        <f>IF($AB261=1,Processed_Data!J261,"")</f>
        <v>15650</v>
      </c>
      <c r="AD261">
        <f>IF($AB261=1,Processed_Data!L261,0)</f>
        <v>50</v>
      </c>
      <c r="AE261">
        <f>IF($AB261=1,--(Processed_Data!M261="On Sale"),0)</f>
        <v>1</v>
      </c>
      <c r="AF261" t="str">
        <f>IF(AND($AB261=1,Processed_Data!C261="J."),Processed_Data!J261,"")</f>
        <v/>
      </c>
      <c r="AG261" t="str">
        <f>IF(AND($AB261=1,Processed_Data!C261="Maria.B"),Processed_Data!J261,"")</f>
        <v/>
      </c>
      <c r="AH261">
        <f>IF(AND($AB261=1,Processed_Data!C261="Sana Safinaz"),Processed_Data!J261,"")</f>
        <v>15650</v>
      </c>
      <c r="AI261">
        <f>IF(AND($AB261=1,Processed_Data!C261="J."),Processed_Data!L261,0)</f>
        <v>0</v>
      </c>
      <c r="AJ261">
        <f>IF(AND($AB261=1,Processed_Data!C261="Maria.B"),Processed_Data!L261,0)</f>
        <v>0</v>
      </c>
      <c r="AK261">
        <f>IF(AND($AB261=1,Processed_Data!C261="Sana Safinaz"),Processed_Data!L261,0)</f>
        <v>50</v>
      </c>
    </row>
    <row r="262" spans="21:37">
      <c r="U262" s="4" t="e">
        <f>IF(AND($AB262=1,Processed_Data!C262="J."),Processed_Data!J262,NA())</f>
        <v>#N/A</v>
      </c>
      <c r="V262" s="8" t="e">
        <f>IF(AND($AB262=1,Processed_Data!C262="J."),Processed_Data!L262/100,NA())</f>
        <v>#N/A</v>
      </c>
      <c r="W262" s="4" t="e">
        <f>IF(AND($AB262=1,Processed_Data!C262="Maria.B"),Processed_Data!J262,NA())</f>
        <v>#N/A</v>
      </c>
      <c r="X262" s="8" t="e">
        <f>IF(AND($AB262=1,Processed_Data!C262="Maria.B"),Processed_Data!L262/100,NA())</f>
        <v>#N/A</v>
      </c>
      <c r="Y262" s="4">
        <f>IF(AND($AB262=1,Processed_Data!C262="Sana Safinaz"),Processed_Data!J262,NA())</f>
        <v>10120</v>
      </c>
      <c r="Z262" s="8">
        <f>IF(AND($AB262=1,Processed_Data!C262="Sana Safinaz"),Processed_Data!L262/100,NA())</f>
        <v>0.6</v>
      </c>
      <c r="AB262">
        <f>--AND(OR($B$2="All",Processed_Data!C262=$B$2),OR($B$3="All",Processed_Data!F262=$B$3),OR($B$4="All",Processed_Data!G262=$B$4),OR($B$5="All",Processed_Data!H262=$B$5),OR($B$6="All",Processed_Data!R262=$B$6),OR($B$7="All",Processed_Data!N262=$B$7))</f>
        <v>1</v>
      </c>
      <c r="AC262">
        <f>IF($AB262=1,Processed_Data!J262,"")</f>
        <v>10120</v>
      </c>
      <c r="AD262">
        <f>IF($AB262=1,Processed_Data!L262,0)</f>
        <v>60</v>
      </c>
      <c r="AE262">
        <f>IF($AB262=1,--(Processed_Data!M262="On Sale"),0)</f>
        <v>1</v>
      </c>
      <c r="AF262" t="str">
        <f>IF(AND($AB262=1,Processed_Data!C262="J."),Processed_Data!J262,"")</f>
        <v/>
      </c>
      <c r="AG262" t="str">
        <f>IF(AND($AB262=1,Processed_Data!C262="Maria.B"),Processed_Data!J262,"")</f>
        <v/>
      </c>
      <c r="AH262">
        <f>IF(AND($AB262=1,Processed_Data!C262="Sana Safinaz"),Processed_Data!J262,"")</f>
        <v>10120</v>
      </c>
      <c r="AI262">
        <f>IF(AND($AB262=1,Processed_Data!C262="J."),Processed_Data!L262,0)</f>
        <v>0</v>
      </c>
      <c r="AJ262">
        <f>IF(AND($AB262=1,Processed_Data!C262="Maria.B"),Processed_Data!L262,0)</f>
        <v>0</v>
      </c>
      <c r="AK262">
        <f>IF(AND($AB262=1,Processed_Data!C262="Sana Safinaz"),Processed_Data!L262,0)</f>
        <v>60</v>
      </c>
    </row>
    <row r="263" spans="21:37">
      <c r="U263" s="4" t="e">
        <f>IF(AND($AB263=1,Processed_Data!C263="J."),Processed_Data!J263,NA())</f>
        <v>#N/A</v>
      </c>
      <c r="V263" s="8" t="e">
        <f>IF(AND($AB263=1,Processed_Data!C263="J."),Processed_Data!L263/100,NA())</f>
        <v>#N/A</v>
      </c>
      <c r="W263" s="4" t="e">
        <f>IF(AND($AB263=1,Processed_Data!C263="Maria.B"),Processed_Data!J263,NA())</f>
        <v>#N/A</v>
      </c>
      <c r="X263" s="8" t="e">
        <f>IF(AND($AB263=1,Processed_Data!C263="Maria.B"),Processed_Data!L263/100,NA())</f>
        <v>#N/A</v>
      </c>
      <c r="Y263" s="4">
        <f>IF(AND($AB263=1,Processed_Data!C263="Sana Safinaz"),Processed_Data!J263,NA())</f>
        <v>5200</v>
      </c>
      <c r="Z263" s="8">
        <f>IF(AND($AB263=1,Processed_Data!C263="Sana Safinaz"),Processed_Data!L263/100,NA())</f>
        <v>0.5</v>
      </c>
      <c r="AB263">
        <f>--AND(OR($B$2="All",Processed_Data!C263=$B$2),OR($B$3="All",Processed_Data!F263=$B$3),OR($B$4="All",Processed_Data!G263=$B$4),OR($B$5="All",Processed_Data!H263=$B$5),OR($B$6="All",Processed_Data!R263=$B$6),OR($B$7="All",Processed_Data!N263=$B$7))</f>
        <v>1</v>
      </c>
      <c r="AC263">
        <f>IF($AB263=1,Processed_Data!J263,"")</f>
        <v>5200</v>
      </c>
      <c r="AD263">
        <f>IF($AB263=1,Processed_Data!L263,0)</f>
        <v>50</v>
      </c>
      <c r="AE263">
        <f>IF($AB263=1,--(Processed_Data!M263="On Sale"),0)</f>
        <v>1</v>
      </c>
      <c r="AF263" t="str">
        <f>IF(AND($AB263=1,Processed_Data!C263="J."),Processed_Data!J263,"")</f>
        <v/>
      </c>
      <c r="AG263" t="str">
        <f>IF(AND($AB263=1,Processed_Data!C263="Maria.B"),Processed_Data!J263,"")</f>
        <v/>
      </c>
      <c r="AH263">
        <f>IF(AND($AB263=1,Processed_Data!C263="Sana Safinaz"),Processed_Data!J263,"")</f>
        <v>5200</v>
      </c>
      <c r="AI263">
        <f>IF(AND($AB263=1,Processed_Data!C263="J."),Processed_Data!L263,0)</f>
        <v>0</v>
      </c>
      <c r="AJ263">
        <f>IF(AND($AB263=1,Processed_Data!C263="Maria.B"),Processed_Data!L263,0)</f>
        <v>0</v>
      </c>
      <c r="AK263">
        <f>IF(AND($AB263=1,Processed_Data!C263="Sana Safinaz"),Processed_Data!L263,0)</f>
        <v>50</v>
      </c>
    </row>
    <row r="264" spans="21:37">
      <c r="U264" s="4" t="e">
        <f>IF(AND($AB264=1,Processed_Data!C264="J."),Processed_Data!J264,NA())</f>
        <v>#N/A</v>
      </c>
      <c r="V264" s="8" t="e">
        <f>IF(AND($AB264=1,Processed_Data!C264="J."),Processed_Data!L264/100,NA())</f>
        <v>#N/A</v>
      </c>
      <c r="W264" s="4" t="e">
        <f>IF(AND($AB264=1,Processed_Data!C264="Maria.B"),Processed_Data!J264,NA())</f>
        <v>#N/A</v>
      </c>
      <c r="X264" s="8" t="e">
        <f>IF(AND($AB264=1,Processed_Data!C264="Maria.B"),Processed_Data!L264/100,NA())</f>
        <v>#N/A</v>
      </c>
      <c r="Y264" s="4">
        <f>IF(AND($AB264=1,Processed_Data!C264="Sana Safinaz"),Processed_Data!J264,NA())</f>
        <v>14750</v>
      </c>
      <c r="Z264" s="8">
        <f>IF(AND($AB264=1,Processed_Data!C264="Sana Safinaz"),Processed_Data!L264/100,NA())</f>
        <v>0.5</v>
      </c>
      <c r="AB264">
        <f>--AND(OR($B$2="All",Processed_Data!C264=$B$2),OR($B$3="All",Processed_Data!F264=$B$3),OR($B$4="All",Processed_Data!G264=$B$4),OR($B$5="All",Processed_Data!H264=$B$5),OR($B$6="All",Processed_Data!R264=$B$6),OR($B$7="All",Processed_Data!N264=$B$7))</f>
        <v>1</v>
      </c>
      <c r="AC264">
        <f>IF($AB264=1,Processed_Data!J264,"")</f>
        <v>14750</v>
      </c>
      <c r="AD264">
        <f>IF($AB264=1,Processed_Data!L264,0)</f>
        <v>50</v>
      </c>
      <c r="AE264">
        <f>IF($AB264=1,--(Processed_Data!M264="On Sale"),0)</f>
        <v>1</v>
      </c>
      <c r="AF264" t="str">
        <f>IF(AND($AB264=1,Processed_Data!C264="J."),Processed_Data!J264,"")</f>
        <v/>
      </c>
      <c r="AG264" t="str">
        <f>IF(AND($AB264=1,Processed_Data!C264="Maria.B"),Processed_Data!J264,"")</f>
        <v/>
      </c>
      <c r="AH264">
        <f>IF(AND($AB264=1,Processed_Data!C264="Sana Safinaz"),Processed_Data!J264,"")</f>
        <v>14750</v>
      </c>
      <c r="AI264">
        <f>IF(AND($AB264=1,Processed_Data!C264="J."),Processed_Data!L264,0)</f>
        <v>0</v>
      </c>
      <c r="AJ264">
        <f>IF(AND($AB264=1,Processed_Data!C264="Maria.B"),Processed_Data!L264,0)</f>
        <v>0</v>
      </c>
      <c r="AK264">
        <f>IF(AND($AB264=1,Processed_Data!C264="Sana Safinaz"),Processed_Data!L264,0)</f>
        <v>50</v>
      </c>
    </row>
    <row r="265" spans="21:37">
      <c r="U265" s="4" t="e">
        <f>IF(AND($AB265=1,Processed_Data!C265="J."),Processed_Data!J265,NA())</f>
        <v>#N/A</v>
      </c>
      <c r="V265" s="8" t="e">
        <f>IF(AND($AB265=1,Processed_Data!C265="J."),Processed_Data!L265/100,NA())</f>
        <v>#N/A</v>
      </c>
      <c r="W265" s="4" t="e">
        <f>IF(AND($AB265=1,Processed_Data!C265="Maria.B"),Processed_Data!J265,NA())</f>
        <v>#N/A</v>
      </c>
      <c r="X265" s="8" t="e">
        <f>IF(AND($AB265=1,Processed_Data!C265="Maria.B"),Processed_Data!L265/100,NA())</f>
        <v>#N/A</v>
      </c>
      <c r="Y265" s="4">
        <f>IF(AND($AB265=1,Processed_Data!C265="Sana Safinaz"),Processed_Data!J265,NA())</f>
        <v>90299</v>
      </c>
      <c r="Z265" s="8">
        <f>IF(AND($AB265=1,Processed_Data!C265="Sana Safinaz"),Processed_Data!L265/100,NA())</f>
        <v>0</v>
      </c>
      <c r="AB265">
        <f>--AND(OR($B$2="All",Processed_Data!C265=$B$2),OR($B$3="All",Processed_Data!F265=$B$3),OR($B$4="All",Processed_Data!G265=$B$4),OR($B$5="All",Processed_Data!H265=$B$5),OR($B$6="All",Processed_Data!R265=$B$6),OR($B$7="All",Processed_Data!N265=$B$7))</f>
        <v>1</v>
      </c>
      <c r="AC265">
        <f>IF($AB265=1,Processed_Data!J265,"")</f>
        <v>90299</v>
      </c>
      <c r="AD265">
        <f>IF($AB265=1,Processed_Data!L265,0)</f>
        <v>0</v>
      </c>
      <c r="AE265">
        <f>IF($AB265=1,--(Processed_Data!M265="On Sale"),0)</f>
        <v>0</v>
      </c>
      <c r="AF265" t="str">
        <f>IF(AND($AB265=1,Processed_Data!C265="J."),Processed_Data!J265,"")</f>
        <v/>
      </c>
      <c r="AG265" t="str">
        <f>IF(AND($AB265=1,Processed_Data!C265="Maria.B"),Processed_Data!J265,"")</f>
        <v/>
      </c>
      <c r="AH265">
        <f>IF(AND($AB265=1,Processed_Data!C265="Sana Safinaz"),Processed_Data!J265,"")</f>
        <v>90299</v>
      </c>
      <c r="AI265">
        <f>IF(AND($AB265=1,Processed_Data!C265="J."),Processed_Data!L265,0)</f>
        <v>0</v>
      </c>
      <c r="AJ265">
        <f>IF(AND($AB265=1,Processed_Data!C265="Maria.B"),Processed_Data!L265,0)</f>
        <v>0</v>
      </c>
      <c r="AK265">
        <f>IF(AND($AB265=1,Processed_Data!C265="Sana Safinaz"),Processed_Data!L265,0)</f>
        <v>0</v>
      </c>
    </row>
    <row r="266" spans="21:37">
      <c r="U266" s="4" t="e">
        <f>IF(AND($AB266=1,Processed_Data!C266="J."),Processed_Data!J266,NA())</f>
        <v>#N/A</v>
      </c>
      <c r="V266" s="8" t="e">
        <f>IF(AND($AB266=1,Processed_Data!C266="J."),Processed_Data!L266/100,NA())</f>
        <v>#N/A</v>
      </c>
      <c r="W266" s="4" t="e">
        <f>IF(AND($AB266=1,Processed_Data!C266="Maria.B"),Processed_Data!J266,NA())</f>
        <v>#N/A</v>
      </c>
      <c r="X266" s="8" t="e">
        <f>IF(AND($AB266=1,Processed_Data!C266="Maria.B"),Processed_Data!L266/100,NA())</f>
        <v>#N/A</v>
      </c>
      <c r="Y266" s="4">
        <f>IF(AND($AB266=1,Processed_Data!C266="Sana Safinaz"),Processed_Data!J266,NA())</f>
        <v>32480</v>
      </c>
      <c r="Z266" s="8">
        <f>IF(AND($AB266=1,Processed_Data!C266="Sana Safinaz"),Processed_Data!L266/100,NA())</f>
        <v>0.6</v>
      </c>
      <c r="AB266">
        <f>--AND(OR($B$2="All",Processed_Data!C266=$B$2),OR($B$3="All",Processed_Data!F266=$B$3),OR($B$4="All",Processed_Data!G266=$B$4),OR($B$5="All",Processed_Data!H266=$B$5),OR($B$6="All",Processed_Data!R266=$B$6),OR($B$7="All",Processed_Data!N266=$B$7))</f>
        <v>1</v>
      </c>
      <c r="AC266">
        <f>IF($AB266=1,Processed_Data!J266,"")</f>
        <v>32480</v>
      </c>
      <c r="AD266">
        <f>IF($AB266=1,Processed_Data!L266,0)</f>
        <v>60</v>
      </c>
      <c r="AE266">
        <f>IF($AB266=1,--(Processed_Data!M266="On Sale"),0)</f>
        <v>1</v>
      </c>
      <c r="AF266" t="str">
        <f>IF(AND($AB266=1,Processed_Data!C266="J."),Processed_Data!J266,"")</f>
        <v/>
      </c>
      <c r="AG266" t="str">
        <f>IF(AND($AB266=1,Processed_Data!C266="Maria.B"),Processed_Data!J266,"")</f>
        <v/>
      </c>
      <c r="AH266">
        <f>IF(AND($AB266=1,Processed_Data!C266="Sana Safinaz"),Processed_Data!J266,"")</f>
        <v>32480</v>
      </c>
      <c r="AI266">
        <f>IF(AND($AB266=1,Processed_Data!C266="J."),Processed_Data!L266,0)</f>
        <v>0</v>
      </c>
      <c r="AJ266">
        <f>IF(AND($AB266=1,Processed_Data!C266="Maria.B"),Processed_Data!L266,0)</f>
        <v>0</v>
      </c>
      <c r="AK266">
        <f>IF(AND($AB266=1,Processed_Data!C266="Sana Safinaz"),Processed_Data!L266,0)</f>
        <v>60</v>
      </c>
    </row>
    <row r="267" spans="21:37">
      <c r="U267" s="4" t="e">
        <f>IF(AND($AB267=1,Processed_Data!C267="J."),Processed_Data!J267,NA())</f>
        <v>#N/A</v>
      </c>
      <c r="V267" s="8" t="e">
        <f>IF(AND($AB267=1,Processed_Data!C267="J."),Processed_Data!L267/100,NA())</f>
        <v>#N/A</v>
      </c>
      <c r="W267" s="4" t="e">
        <f>IF(AND($AB267=1,Processed_Data!C267="Maria.B"),Processed_Data!J267,NA())</f>
        <v>#N/A</v>
      </c>
      <c r="X267" s="8" t="e">
        <f>IF(AND($AB267=1,Processed_Data!C267="Maria.B"),Processed_Data!L267/100,NA())</f>
        <v>#N/A</v>
      </c>
      <c r="Y267" s="4">
        <f>IF(AND($AB267=1,Processed_Data!C267="Sana Safinaz"),Processed_Data!J267,NA())</f>
        <v>4800</v>
      </c>
      <c r="Z267" s="8">
        <f>IF(AND($AB267=1,Processed_Data!C267="Sana Safinaz"),Processed_Data!L267/100,NA())</f>
        <v>0.6</v>
      </c>
      <c r="AB267">
        <f>--AND(OR($B$2="All",Processed_Data!C267=$B$2),OR($B$3="All",Processed_Data!F267=$B$3),OR($B$4="All",Processed_Data!G267=$B$4),OR($B$5="All",Processed_Data!H267=$B$5),OR($B$6="All",Processed_Data!R267=$B$6),OR($B$7="All",Processed_Data!N267=$B$7))</f>
        <v>1</v>
      </c>
      <c r="AC267">
        <f>IF($AB267=1,Processed_Data!J267,"")</f>
        <v>4800</v>
      </c>
      <c r="AD267">
        <f>IF($AB267=1,Processed_Data!L267,0)</f>
        <v>60</v>
      </c>
      <c r="AE267">
        <f>IF($AB267=1,--(Processed_Data!M267="On Sale"),0)</f>
        <v>1</v>
      </c>
      <c r="AF267" t="str">
        <f>IF(AND($AB267=1,Processed_Data!C267="J."),Processed_Data!J267,"")</f>
        <v/>
      </c>
      <c r="AG267" t="str">
        <f>IF(AND($AB267=1,Processed_Data!C267="Maria.B"),Processed_Data!J267,"")</f>
        <v/>
      </c>
      <c r="AH267">
        <f>IF(AND($AB267=1,Processed_Data!C267="Sana Safinaz"),Processed_Data!J267,"")</f>
        <v>4800</v>
      </c>
      <c r="AI267">
        <f>IF(AND($AB267=1,Processed_Data!C267="J."),Processed_Data!L267,0)</f>
        <v>0</v>
      </c>
      <c r="AJ267">
        <f>IF(AND($AB267=1,Processed_Data!C267="Maria.B"),Processed_Data!L267,0)</f>
        <v>0</v>
      </c>
      <c r="AK267">
        <f>IF(AND($AB267=1,Processed_Data!C267="Sana Safinaz"),Processed_Data!L267,0)</f>
        <v>60</v>
      </c>
    </row>
    <row r="268" spans="21:37">
      <c r="U268" s="4" t="e">
        <f>IF(AND($AB268=1,Processed_Data!C268="J."),Processed_Data!J268,NA())</f>
        <v>#N/A</v>
      </c>
      <c r="V268" s="8" t="e">
        <f>IF(AND($AB268=1,Processed_Data!C268="J."),Processed_Data!L268/100,NA())</f>
        <v>#N/A</v>
      </c>
      <c r="W268" s="4" t="e">
        <f>IF(AND($AB268=1,Processed_Data!C268="Maria.B"),Processed_Data!J268,NA())</f>
        <v>#N/A</v>
      </c>
      <c r="X268" s="8" t="e">
        <f>IF(AND($AB268=1,Processed_Data!C268="Maria.B"),Processed_Data!L268/100,NA())</f>
        <v>#N/A</v>
      </c>
      <c r="Y268" s="4">
        <f>IF(AND($AB268=1,Processed_Data!C268="Sana Safinaz"),Processed_Data!J268,NA())</f>
        <v>109399</v>
      </c>
      <c r="Z268" s="8">
        <f>IF(AND($AB268=1,Processed_Data!C268="Sana Safinaz"),Processed_Data!L268/100,NA())</f>
        <v>0</v>
      </c>
      <c r="AB268">
        <f>--AND(OR($B$2="All",Processed_Data!C268=$B$2),OR($B$3="All",Processed_Data!F268=$B$3),OR($B$4="All",Processed_Data!G268=$B$4),OR($B$5="All",Processed_Data!H268=$B$5),OR($B$6="All",Processed_Data!R268=$B$6),OR($B$7="All",Processed_Data!N268=$B$7))</f>
        <v>1</v>
      </c>
      <c r="AC268">
        <f>IF($AB268=1,Processed_Data!J268,"")</f>
        <v>109399</v>
      </c>
      <c r="AD268">
        <f>IF($AB268=1,Processed_Data!L268,0)</f>
        <v>0</v>
      </c>
      <c r="AE268">
        <f>IF($AB268=1,--(Processed_Data!M268="On Sale"),0)</f>
        <v>0</v>
      </c>
      <c r="AF268" t="str">
        <f>IF(AND($AB268=1,Processed_Data!C268="J."),Processed_Data!J268,"")</f>
        <v/>
      </c>
      <c r="AG268" t="str">
        <f>IF(AND($AB268=1,Processed_Data!C268="Maria.B"),Processed_Data!J268,"")</f>
        <v/>
      </c>
      <c r="AH268">
        <f>IF(AND($AB268=1,Processed_Data!C268="Sana Safinaz"),Processed_Data!J268,"")</f>
        <v>109399</v>
      </c>
      <c r="AI268">
        <f>IF(AND($AB268=1,Processed_Data!C268="J."),Processed_Data!L268,0)</f>
        <v>0</v>
      </c>
      <c r="AJ268">
        <f>IF(AND($AB268=1,Processed_Data!C268="Maria.B"),Processed_Data!L268,0)</f>
        <v>0</v>
      </c>
      <c r="AK268">
        <f>IF(AND($AB268=1,Processed_Data!C268="Sana Safinaz"),Processed_Data!L268,0)</f>
        <v>0</v>
      </c>
    </row>
    <row r="269" spans="21:37">
      <c r="U269" s="4" t="e">
        <f>IF(AND($AB269=1,Processed_Data!C269="J."),Processed_Data!J269,NA())</f>
        <v>#N/A</v>
      </c>
      <c r="V269" s="8" t="e">
        <f>IF(AND($AB269=1,Processed_Data!C269="J."),Processed_Data!L269/100,NA())</f>
        <v>#N/A</v>
      </c>
      <c r="W269" s="4" t="e">
        <f>IF(AND($AB269=1,Processed_Data!C269="Maria.B"),Processed_Data!J269,NA())</f>
        <v>#N/A</v>
      </c>
      <c r="X269" s="8" t="e">
        <f>IF(AND($AB269=1,Processed_Data!C269="Maria.B"),Processed_Data!L269/100,NA())</f>
        <v>#N/A</v>
      </c>
      <c r="Y269" s="4">
        <f>IF(AND($AB269=1,Processed_Data!C269="Sana Safinaz"),Processed_Data!J269,NA())</f>
        <v>5950</v>
      </c>
      <c r="Z269" s="8">
        <f>IF(AND($AB269=1,Processed_Data!C269="Sana Safinaz"),Processed_Data!L269/100,NA())</f>
        <v>0.5</v>
      </c>
      <c r="AB269">
        <f>--AND(OR($B$2="All",Processed_Data!C269=$B$2),OR($B$3="All",Processed_Data!F269=$B$3),OR($B$4="All",Processed_Data!G269=$B$4),OR($B$5="All",Processed_Data!H269=$B$5),OR($B$6="All",Processed_Data!R269=$B$6),OR($B$7="All",Processed_Data!N269=$B$7))</f>
        <v>1</v>
      </c>
      <c r="AC269">
        <f>IF($AB269=1,Processed_Data!J269,"")</f>
        <v>5950</v>
      </c>
      <c r="AD269">
        <f>IF($AB269=1,Processed_Data!L269,0)</f>
        <v>50</v>
      </c>
      <c r="AE269">
        <f>IF($AB269=1,--(Processed_Data!M269="On Sale"),0)</f>
        <v>1</v>
      </c>
      <c r="AF269" t="str">
        <f>IF(AND($AB269=1,Processed_Data!C269="J."),Processed_Data!J269,"")</f>
        <v/>
      </c>
      <c r="AG269" t="str">
        <f>IF(AND($AB269=1,Processed_Data!C269="Maria.B"),Processed_Data!J269,"")</f>
        <v/>
      </c>
      <c r="AH269">
        <f>IF(AND($AB269=1,Processed_Data!C269="Sana Safinaz"),Processed_Data!J269,"")</f>
        <v>5950</v>
      </c>
      <c r="AI269">
        <f>IF(AND($AB269=1,Processed_Data!C269="J."),Processed_Data!L269,0)</f>
        <v>0</v>
      </c>
      <c r="AJ269">
        <f>IF(AND($AB269=1,Processed_Data!C269="Maria.B"),Processed_Data!L269,0)</f>
        <v>0</v>
      </c>
      <c r="AK269">
        <f>IF(AND($AB269=1,Processed_Data!C269="Sana Safinaz"),Processed_Data!L269,0)</f>
        <v>50</v>
      </c>
    </row>
    <row r="270" spans="21:37">
      <c r="U270" s="4" t="e">
        <f>IF(AND($AB270=1,Processed_Data!C270="J."),Processed_Data!J270,NA())</f>
        <v>#N/A</v>
      </c>
      <c r="V270" s="8" t="e">
        <f>IF(AND($AB270=1,Processed_Data!C270="J."),Processed_Data!L270/100,NA())</f>
        <v>#N/A</v>
      </c>
      <c r="W270" s="4" t="e">
        <f>IF(AND($AB270=1,Processed_Data!C270="Maria.B"),Processed_Data!J270,NA())</f>
        <v>#N/A</v>
      </c>
      <c r="X270" s="8" t="e">
        <f>IF(AND($AB270=1,Processed_Data!C270="Maria.B"),Processed_Data!L270/100,NA())</f>
        <v>#N/A</v>
      </c>
      <c r="Y270" s="4">
        <f>IF(AND($AB270=1,Processed_Data!C270="Sana Safinaz"),Processed_Data!J270,NA())</f>
        <v>4520</v>
      </c>
      <c r="Z270" s="8">
        <f>IF(AND($AB270=1,Processed_Data!C270="Sana Safinaz"),Processed_Data!L270/100,NA())</f>
        <v>0.6</v>
      </c>
      <c r="AB270">
        <f>--AND(OR($B$2="All",Processed_Data!C270=$B$2),OR($B$3="All",Processed_Data!F270=$B$3),OR($B$4="All",Processed_Data!G270=$B$4),OR($B$5="All",Processed_Data!H270=$B$5),OR($B$6="All",Processed_Data!R270=$B$6),OR($B$7="All",Processed_Data!N270=$B$7))</f>
        <v>1</v>
      </c>
      <c r="AC270">
        <f>IF($AB270=1,Processed_Data!J270,"")</f>
        <v>4520</v>
      </c>
      <c r="AD270">
        <f>IF($AB270=1,Processed_Data!L270,0)</f>
        <v>60</v>
      </c>
      <c r="AE270">
        <f>IF($AB270=1,--(Processed_Data!M270="On Sale"),0)</f>
        <v>1</v>
      </c>
      <c r="AF270" t="str">
        <f>IF(AND($AB270=1,Processed_Data!C270="J."),Processed_Data!J270,"")</f>
        <v/>
      </c>
      <c r="AG270" t="str">
        <f>IF(AND($AB270=1,Processed_Data!C270="Maria.B"),Processed_Data!J270,"")</f>
        <v/>
      </c>
      <c r="AH270">
        <f>IF(AND($AB270=1,Processed_Data!C270="Sana Safinaz"),Processed_Data!J270,"")</f>
        <v>4520</v>
      </c>
      <c r="AI270">
        <f>IF(AND($AB270=1,Processed_Data!C270="J."),Processed_Data!L270,0)</f>
        <v>0</v>
      </c>
      <c r="AJ270">
        <f>IF(AND($AB270=1,Processed_Data!C270="Maria.B"),Processed_Data!L270,0)</f>
        <v>0</v>
      </c>
      <c r="AK270">
        <f>IF(AND($AB270=1,Processed_Data!C270="Sana Safinaz"),Processed_Data!L270,0)</f>
        <v>60</v>
      </c>
    </row>
    <row r="271" spans="21:37">
      <c r="U271" s="4" t="e">
        <f>IF(AND($AB271=1,Processed_Data!C271="J."),Processed_Data!J271,NA())</f>
        <v>#N/A</v>
      </c>
      <c r="V271" s="8" t="e">
        <f>IF(AND($AB271=1,Processed_Data!C271="J."),Processed_Data!L271/100,NA())</f>
        <v>#N/A</v>
      </c>
      <c r="W271" s="4" t="e">
        <f>IF(AND($AB271=1,Processed_Data!C271="Maria.B"),Processed_Data!J271,NA())</f>
        <v>#N/A</v>
      </c>
      <c r="X271" s="8" t="e">
        <f>IF(AND($AB271=1,Processed_Data!C271="Maria.B"),Processed_Data!L271/100,NA())</f>
        <v>#N/A</v>
      </c>
      <c r="Y271" s="4">
        <f>IF(AND($AB271=1,Processed_Data!C271="Sana Safinaz"),Processed_Data!J271,NA())</f>
        <v>26588</v>
      </c>
      <c r="Z271" s="8">
        <f>IF(AND($AB271=1,Processed_Data!C271="Sana Safinaz"),Processed_Data!L271/100,NA())</f>
        <v>0.6</v>
      </c>
      <c r="AB271">
        <f>--AND(OR($B$2="All",Processed_Data!C271=$B$2),OR($B$3="All",Processed_Data!F271=$B$3),OR($B$4="All",Processed_Data!G271=$B$4),OR($B$5="All",Processed_Data!H271=$B$5),OR($B$6="All",Processed_Data!R271=$B$6),OR($B$7="All",Processed_Data!N271=$B$7))</f>
        <v>1</v>
      </c>
      <c r="AC271">
        <f>IF($AB271=1,Processed_Data!J271,"")</f>
        <v>26588</v>
      </c>
      <c r="AD271">
        <f>IF($AB271=1,Processed_Data!L271,0)</f>
        <v>60</v>
      </c>
      <c r="AE271">
        <f>IF($AB271=1,--(Processed_Data!M271="On Sale"),0)</f>
        <v>1</v>
      </c>
      <c r="AF271" t="str">
        <f>IF(AND($AB271=1,Processed_Data!C271="J."),Processed_Data!J271,"")</f>
        <v/>
      </c>
      <c r="AG271" t="str">
        <f>IF(AND($AB271=1,Processed_Data!C271="Maria.B"),Processed_Data!J271,"")</f>
        <v/>
      </c>
      <c r="AH271">
        <f>IF(AND($AB271=1,Processed_Data!C271="Sana Safinaz"),Processed_Data!J271,"")</f>
        <v>26588</v>
      </c>
      <c r="AI271">
        <f>IF(AND($AB271=1,Processed_Data!C271="J."),Processed_Data!L271,0)</f>
        <v>0</v>
      </c>
      <c r="AJ271">
        <f>IF(AND($AB271=1,Processed_Data!C271="Maria.B"),Processed_Data!L271,0)</f>
        <v>0</v>
      </c>
      <c r="AK271">
        <f>IF(AND($AB271=1,Processed_Data!C271="Sana Safinaz"),Processed_Data!L271,0)</f>
        <v>60</v>
      </c>
    </row>
    <row r="272" spans="21:37">
      <c r="U272" s="4" t="e">
        <f>IF(AND($AB272=1,Processed_Data!C272="J."),Processed_Data!J272,NA())</f>
        <v>#N/A</v>
      </c>
      <c r="V272" s="8" t="e">
        <f>IF(AND($AB272=1,Processed_Data!C272="J."),Processed_Data!L272/100,NA())</f>
        <v>#N/A</v>
      </c>
      <c r="W272" s="4" t="e">
        <f>IF(AND($AB272=1,Processed_Data!C272="Maria.B"),Processed_Data!J272,NA())</f>
        <v>#N/A</v>
      </c>
      <c r="X272" s="8" t="e">
        <f>IF(AND($AB272=1,Processed_Data!C272="Maria.B"),Processed_Data!L272/100,NA())</f>
        <v>#N/A</v>
      </c>
      <c r="Y272" s="4">
        <f>IF(AND($AB272=1,Processed_Data!C272="Sana Safinaz"),Processed_Data!J272,NA())</f>
        <v>30499</v>
      </c>
      <c r="Z272" s="8">
        <f>IF(AND($AB272=1,Processed_Data!C272="Sana Safinaz"),Processed_Data!L272/100,NA())</f>
        <v>0</v>
      </c>
      <c r="AB272">
        <f>--AND(OR($B$2="All",Processed_Data!C272=$B$2),OR($B$3="All",Processed_Data!F272=$B$3),OR($B$4="All",Processed_Data!G272=$B$4),OR($B$5="All",Processed_Data!H272=$B$5),OR($B$6="All",Processed_Data!R272=$B$6),OR($B$7="All",Processed_Data!N272=$B$7))</f>
        <v>1</v>
      </c>
      <c r="AC272">
        <f>IF($AB272=1,Processed_Data!J272,"")</f>
        <v>30499</v>
      </c>
      <c r="AD272">
        <f>IF($AB272=1,Processed_Data!L272,0)</f>
        <v>0</v>
      </c>
      <c r="AE272">
        <f>IF($AB272=1,--(Processed_Data!M272="On Sale"),0)</f>
        <v>0</v>
      </c>
      <c r="AF272" t="str">
        <f>IF(AND($AB272=1,Processed_Data!C272="J."),Processed_Data!J272,"")</f>
        <v/>
      </c>
      <c r="AG272" t="str">
        <f>IF(AND($AB272=1,Processed_Data!C272="Maria.B"),Processed_Data!J272,"")</f>
        <v/>
      </c>
      <c r="AH272">
        <f>IF(AND($AB272=1,Processed_Data!C272="Sana Safinaz"),Processed_Data!J272,"")</f>
        <v>30499</v>
      </c>
      <c r="AI272">
        <f>IF(AND($AB272=1,Processed_Data!C272="J."),Processed_Data!L272,0)</f>
        <v>0</v>
      </c>
      <c r="AJ272">
        <f>IF(AND($AB272=1,Processed_Data!C272="Maria.B"),Processed_Data!L272,0)</f>
        <v>0</v>
      </c>
      <c r="AK272">
        <f>IF(AND($AB272=1,Processed_Data!C272="Sana Safinaz"),Processed_Data!L272,0)</f>
        <v>0</v>
      </c>
    </row>
    <row r="273" spans="21:37">
      <c r="U273" s="4" t="e">
        <f>IF(AND($AB273=1,Processed_Data!C273="J."),Processed_Data!J273,NA())</f>
        <v>#N/A</v>
      </c>
      <c r="V273" s="8" t="e">
        <f>IF(AND($AB273=1,Processed_Data!C273="J."),Processed_Data!L273/100,NA())</f>
        <v>#N/A</v>
      </c>
      <c r="W273" s="4" t="e">
        <f>IF(AND($AB273=1,Processed_Data!C273="Maria.B"),Processed_Data!J273,NA())</f>
        <v>#N/A</v>
      </c>
      <c r="X273" s="8" t="e">
        <f>IF(AND($AB273=1,Processed_Data!C273="Maria.B"),Processed_Data!L273/100,NA())</f>
        <v>#N/A</v>
      </c>
      <c r="Y273" s="4">
        <f>IF(AND($AB273=1,Processed_Data!C273="Sana Safinaz"),Processed_Data!J273,NA())</f>
        <v>41799</v>
      </c>
      <c r="Z273" s="8">
        <f>IF(AND($AB273=1,Processed_Data!C273="Sana Safinaz"),Processed_Data!L273/100,NA())</f>
        <v>0</v>
      </c>
      <c r="AB273">
        <f>--AND(OR($B$2="All",Processed_Data!C273=$B$2),OR($B$3="All",Processed_Data!F273=$B$3),OR($B$4="All",Processed_Data!G273=$B$4),OR($B$5="All",Processed_Data!H273=$B$5),OR($B$6="All",Processed_Data!R273=$B$6),OR($B$7="All",Processed_Data!N273=$B$7))</f>
        <v>1</v>
      </c>
      <c r="AC273">
        <f>IF($AB273=1,Processed_Data!J273,"")</f>
        <v>41799</v>
      </c>
      <c r="AD273">
        <f>IF($AB273=1,Processed_Data!L273,0)</f>
        <v>0</v>
      </c>
      <c r="AE273">
        <f>IF($AB273=1,--(Processed_Data!M273="On Sale"),0)</f>
        <v>0</v>
      </c>
      <c r="AF273" t="str">
        <f>IF(AND($AB273=1,Processed_Data!C273="J."),Processed_Data!J273,"")</f>
        <v/>
      </c>
      <c r="AG273" t="str">
        <f>IF(AND($AB273=1,Processed_Data!C273="Maria.B"),Processed_Data!J273,"")</f>
        <v/>
      </c>
      <c r="AH273">
        <f>IF(AND($AB273=1,Processed_Data!C273="Sana Safinaz"),Processed_Data!J273,"")</f>
        <v>41799</v>
      </c>
      <c r="AI273">
        <f>IF(AND($AB273=1,Processed_Data!C273="J."),Processed_Data!L273,0)</f>
        <v>0</v>
      </c>
      <c r="AJ273">
        <f>IF(AND($AB273=1,Processed_Data!C273="Maria.B"),Processed_Data!L273,0)</f>
        <v>0</v>
      </c>
      <c r="AK273">
        <f>IF(AND($AB273=1,Processed_Data!C273="Sana Safinaz"),Processed_Data!L273,0)</f>
        <v>0</v>
      </c>
    </row>
    <row r="274" spans="21:37">
      <c r="U274" s="4" t="e">
        <f>IF(AND($AB274=1,Processed_Data!C274="J."),Processed_Data!J274,NA())</f>
        <v>#N/A</v>
      </c>
      <c r="V274" s="8" t="e">
        <f>IF(AND($AB274=1,Processed_Data!C274="J."),Processed_Data!L274/100,NA())</f>
        <v>#N/A</v>
      </c>
      <c r="W274" s="4" t="e">
        <f>IF(AND($AB274=1,Processed_Data!C274="Maria.B"),Processed_Data!J274,NA())</f>
        <v>#N/A</v>
      </c>
      <c r="X274" s="8" t="e">
        <f>IF(AND($AB274=1,Processed_Data!C274="Maria.B"),Processed_Data!L274/100,NA())</f>
        <v>#N/A</v>
      </c>
      <c r="Y274" s="4">
        <f>IF(AND($AB274=1,Processed_Data!C274="Sana Safinaz"),Processed_Data!J274,NA())</f>
        <v>30499</v>
      </c>
      <c r="Z274" s="8">
        <f>IF(AND($AB274=1,Processed_Data!C274="Sana Safinaz"),Processed_Data!L274/100,NA())</f>
        <v>0</v>
      </c>
      <c r="AB274">
        <f>--AND(OR($B$2="All",Processed_Data!C274=$B$2),OR($B$3="All",Processed_Data!F274=$B$3),OR($B$4="All",Processed_Data!G274=$B$4),OR($B$5="All",Processed_Data!H274=$B$5),OR($B$6="All",Processed_Data!R274=$B$6),OR($B$7="All",Processed_Data!N274=$B$7))</f>
        <v>1</v>
      </c>
      <c r="AC274">
        <f>IF($AB274=1,Processed_Data!J274,"")</f>
        <v>30499</v>
      </c>
      <c r="AD274">
        <f>IF($AB274=1,Processed_Data!L274,0)</f>
        <v>0</v>
      </c>
      <c r="AE274">
        <f>IF($AB274=1,--(Processed_Data!M274="On Sale"),0)</f>
        <v>0</v>
      </c>
      <c r="AF274" t="str">
        <f>IF(AND($AB274=1,Processed_Data!C274="J."),Processed_Data!J274,"")</f>
        <v/>
      </c>
      <c r="AG274" t="str">
        <f>IF(AND($AB274=1,Processed_Data!C274="Maria.B"),Processed_Data!J274,"")</f>
        <v/>
      </c>
      <c r="AH274">
        <f>IF(AND($AB274=1,Processed_Data!C274="Sana Safinaz"),Processed_Data!J274,"")</f>
        <v>30499</v>
      </c>
      <c r="AI274">
        <f>IF(AND($AB274=1,Processed_Data!C274="J."),Processed_Data!L274,0)</f>
        <v>0</v>
      </c>
      <c r="AJ274">
        <f>IF(AND($AB274=1,Processed_Data!C274="Maria.B"),Processed_Data!L274,0)</f>
        <v>0</v>
      </c>
      <c r="AK274">
        <f>IF(AND($AB274=1,Processed_Data!C274="Sana Safinaz"),Processed_Data!L274,0)</f>
        <v>0</v>
      </c>
    </row>
    <row r="275" spans="21:37">
      <c r="U275" s="4" t="e">
        <f>IF(AND($AB275=1,Processed_Data!C275="J."),Processed_Data!J275,NA())</f>
        <v>#N/A</v>
      </c>
      <c r="V275" s="8" t="e">
        <f>IF(AND($AB275=1,Processed_Data!C275="J."),Processed_Data!L275/100,NA())</f>
        <v>#N/A</v>
      </c>
      <c r="W275" s="4" t="e">
        <f>IF(AND($AB275=1,Processed_Data!C275="Maria.B"),Processed_Data!J275,NA())</f>
        <v>#N/A</v>
      </c>
      <c r="X275" s="8" t="e">
        <f>IF(AND($AB275=1,Processed_Data!C275="Maria.B"),Processed_Data!L275/100,NA())</f>
        <v>#N/A</v>
      </c>
      <c r="Y275" s="4">
        <f>IF(AND($AB275=1,Processed_Data!C275="Sana Safinaz"),Processed_Data!J275,NA())</f>
        <v>29099</v>
      </c>
      <c r="Z275" s="8">
        <f>IF(AND($AB275=1,Processed_Data!C275="Sana Safinaz"),Processed_Data!L275/100,NA())</f>
        <v>0</v>
      </c>
      <c r="AB275">
        <f>--AND(OR($B$2="All",Processed_Data!C275=$B$2),OR($B$3="All",Processed_Data!F275=$B$3),OR($B$4="All",Processed_Data!G275=$B$4),OR($B$5="All",Processed_Data!H275=$B$5),OR($B$6="All",Processed_Data!R275=$B$6),OR($B$7="All",Processed_Data!N275=$B$7))</f>
        <v>1</v>
      </c>
      <c r="AC275">
        <f>IF($AB275=1,Processed_Data!J275,"")</f>
        <v>29099</v>
      </c>
      <c r="AD275">
        <f>IF($AB275=1,Processed_Data!L275,0)</f>
        <v>0</v>
      </c>
      <c r="AE275">
        <f>IF($AB275=1,--(Processed_Data!M275="On Sale"),0)</f>
        <v>0</v>
      </c>
      <c r="AF275" t="str">
        <f>IF(AND($AB275=1,Processed_Data!C275="J."),Processed_Data!J275,"")</f>
        <v/>
      </c>
      <c r="AG275" t="str">
        <f>IF(AND($AB275=1,Processed_Data!C275="Maria.B"),Processed_Data!J275,"")</f>
        <v/>
      </c>
      <c r="AH275">
        <f>IF(AND($AB275=1,Processed_Data!C275="Sana Safinaz"),Processed_Data!J275,"")</f>
        <v>29099</v>
      </c>
      <c r="AI275">
        <f>IF(AND($AB275=1,Processed_Data!C275="J."),Processed_Data!L275,0)</f>
        <v>0</v>
      </c>
      <c r="AJ275">
        <f>IF(AND($AB275=1,Processed_Data!C275="Maria.B"),Processed_Data!L275,0)</f>
        <v>0</v>
      </c>
      <c r="AK275">
        <f>IF(AND($AB275=1,Processed_Data!C275="Sana Safinaz"),Processed_Data!L275,0)</f>
        <v>0</v>
      </c>
    </row>
    <row r="276" spans="21:37">
      <c r="U276" s="4" t="e">
        <f>IF(AND($AB276=1,Processed_Data!C276="J."),Processed_Data!J276,NA())</f>
        <v>#N/A</v>
      </c>
      <c r="V276" s="8" t="e">
        <f>IF(AND($AB276=1,Processed_Data!C276="J."),Processed_Data!L276/100,NA())</f>
        <v>#N/A</v>
      </c>
      <c r="W276" s="4" t="e">
        <f>IF(AND($AB276=1,Processed_Data!C276="Maria.B"),Processed_Data!J276,NA())</f>
        <v>#N/A</v>
      </c>
      <c r="X276" s="8" t="e">
        <f>IF(AND($AB276=1,Processed_Data!C276="Maria.B"),Processed_Data!L276/100,NA())</f>
        <v>#N/A</v>
      </c>
      <c r="Y276" s="4">
        <f>IF(AND($AB276=1,Processed_Data!C276="Sana Safinaz"),Processed_Data!J276,NA())</f>
        <v>28499</v>
      </c>
      <c r="Z276" s="8">
        <f>IF(AND($AB276=1,Processed_Data!C276="Sana Safinaz"),Processed_Data!L276/100,NA())</f>
        <v>0</v>
      </c>
      <c r="AB276">
        <f>--AND(OR($B$2="All",Processed_Data!C276=$B$2),OR($B$3="All",Processed_Data!F276=$B$3),OR($B$4="All",Processed_Data!G276=$B$4),OR($B$5="All",Processed_Data!H276=$B$5),OR($B$6="All",Processed_Data!R276=$B$6),OR($B$7="All",Processed_Data!N276=$B$7))</f>
        <v>1</v>
      </c>
      <c r="AC276">
        <f>IF($AB276=1,Processed_Data!J276,"")</f>
        <v>28499</v>
      </c>
      <c r="AD276">
        <f>IF($AB276=1,Processed_Data!L276,0)</f>
        <v>0</v>
      </c>
      <c r="AE276">
        <f>IF($AB276=1,--(Processed_Data!M276="On Sale"),0)</f>
        <v>0</v>
      </c>
      <c r="AF276" t="str">
        <f>IF(AND($AB276=1,Processed_Data!C276="J."),Processed_Data!J276,"")</f>
        <v/>
      </c>
      <c r="AG276" t="str">
        <f>IF(AND($AB276=1,Processed_Data!C276="Maria.B"),Processed_Data!J276,"")</f>
        <v/>
      </c>
      <c r="AH276">
        <f>IF(AND($AB276=1,Processed_Data!C276="Sana Safinaz"),Processed_Data!J276,"")</f>
        <v>28499</v>
      </c>
      <c r="AI276">
        <f>IF(AND($AB276=1,Processed_Data!C276="J."),Processed_Data!L276,0)</f>
        <v>0</v>
      </c>
      <c r="AJ276">
        <f>IF(AND($AB276=1,Processed_Data!C276="Maria.B"),Processed_Data!L276,0)</f>
        <v>0</v>
      </c>
      <c r="AK276">
        <f>IF(AND($AB276=1,Processed_Data!C276="Sana Safinaz"),Processed_Data!L276,0)</f>
        <v>0</v>
      </c>
    </row>
    <row r="277" spans="21:37">
      <c r="U277" s="4" t="e">
        <f>IF(AND($AB277=1,Processed_Data!C277="J."),Processed_Data!J277,NA())</f>
        <v>#N/A</v>
      </c>
      <c r="V277" s="8" t="e">
        <f>IF(AND($AB277=1,Processed_Data!C277="J."),Processed_Data!L277/100,NA())</f>
        <v>#N/A</v>
      </c>
      <c r="W277" s="4" t="e">
        <f>IF(AND($AB277=1,Processed_Data!C277="Maria.B"),Processed_Data!J277,NA())</f>
        <v>#N/A</v>
      </c>
      <c r="X277" s="8" t="e">
        <f>IF(AND($AB277=1,Processed_Data!C277="Maria.B"),Processed_Data!L277/100,NA())</f>
        <v>#N/A</v>
      </c>
      <c r="Y277" s="4">
        <f>IF(AND($AB277=1,Processed_Data!C277="Sana Safinaz"),Processed_Data!J277,NA())</f>
        <v>60888</v>
      </c>
      <c r="Z277" s="8">
        <f>IF(AND($AB277=1,Processed_Data!C277="Sana Safinaz"),Processed_Data!L277/100,NA())</f>
        <v>0.6</v>
      </c>
      <c r="AB277">
        <f>--AND(OR($B$2="All",Processed_Data!C277=$B$2),OR($B$3="All",Processed_Data!F277=$B$3),OR($B$4="All",Processed_Data!G277=$B$4),OR($B$5="All",Processed_Data!H277=$B$5),OR($B$6="All",Processed_Data!R277=$B$6),OR($B$7="All",Processed_Data!N277=$B$7))</f>
        <v>1</v>
      </c>
      <c r="AC277">
        <f>IF($AB277=1,Processed_Data!J277,"")</f>
        <v>60888</v>
      </c>
      <c r="AD277">
        <f>IF($AB277=1,Processed_Data!L277,0)</f>
        <v>60</v>
      </c>
      <c r="AE277">
        <f>IF($AB277=1,--(Processed_Data!M277="On Sale"),0)</f>
        <v>1</v>
      </c>
      <c r="AF277" t="str">
        <f>IF(AND($AB277=1,Processed_Data!C277="J."),Processed_Data!J277,"")</f>
        <v/>
      </c>
      <c r="AG277" t="str">
        <f>IF(AND($AB277=1,Processed_Data!C277="Maria.B"),Processed_Data!J277,"")</f>
        <v/>
      </c>
      <c r="AH277">
        <f>IF(AND($AB277=1,Processed_Data!C277="Sana Safinaz"),Processed_Data!J277,"")</f>
        <v>60888</v>
      </c>
      <c r="AI277">
        <f>IF(AND($AB277=1,Processed_Data!C277="J."),Processed_Data!L277,0)</f>
        <v>0</v>
      </c>
      <c r="AJ277">
        <f>IF(AND($AB277=1,Processed_Data!C277="Maria.B"),Processed_Data!L277,0)</f>
        <v>0</v>
      </c>
      <c r="AK277">
        <f>IF(AND($AB277=1,Processed_Data!C277="Sana Safinaz"),Processed_Data!L277,0)</f>
        <v>60</v>
      </c>
    </row>
    <row r="278" spans="21:37">
      <c r="U278" s="4" t="e">
        <f>IF(AND($AB278=1,Processed_Data!C278="J."),Processed_Data!J278,NA())</f>
        <v>#N/A</v>
      </c>
      <c r="V278" s="8" t="e">
        <f>IF(AND($AB278=1,Processed_Data!C278="J."),Processed_Data!L278/100,NA())</f>
        <v>#N/A</v>
      </c>
      <c r="W278" s="4" t="e">
        <f>IF(AND($AB278=1,Processed_Data!C278="Maria.B"),Processed_Data!J278,NA())</f>
        <v>#N/A</v>
      </c>
      <c r="X278" s="8" t="e">
        <f>IF(AND($AB278=1,Processed_Data!C278="Maria.B"),Processed_Data!L278/100,NA())</f>
        <v>#N/A</v>
      </c>
      <c r="Y278" s="4">
        <f>IF(AND($AB278=1,Processed_Data!C278="Sana Safinaz"),Processed_Data!J278,NA())</f>
        <v>34649</v>
      </c>
      <c r="Z278" s="8">
        <f>IF(AND($AB278=1,Processed_Data!C278="Sana Safinaz"),Processed_Data!L278/100,NA())</f>
        <v>0.3</v>
      </c>
      <c r="AB278">
        <f>--AND(OR($B$2="All",Processed_Data!C278=$B$2),OR($B$3="All",Processed_Data!F278=$B$3),OR($B$4="All",Processed_Data!G278=$B$4),OR($B$5="All",Processed_Data!H278=$B$5),OR($B$6="All",Processed_Data!R278=$B$6),OR($B$7="All",Processed_Data!N278=$B$7))</f>
        <v>1</v>
      </c>
      <c r="AC278">
        <f>IF($AB278=1,Processed_Data!J278,"")</f>
        <v>34649</v>
      </c>
      <c r="AD278">
        <f>IF($AB278=1,Processed_Data!L278,0)</f>
        <v>30</v>
      </c>
      <c r="AE278">
        <f>IF($AB278=1,--(Processed_Data!M278="On Sale"),0)</f>
        <v>1</v>
      </c>
      <c r="AF278" t="str">
        <f>IF(AND($AB278=1,Processed_Data!C278="J."),Processed_Data!J278,"")</f>
        <v/>
      </c>
      <c r="AG278" t="str">
        <f>IF(AND($AB278=1,Processed_Data!C278="Maria.B"),Processed_Data!J278,"")</f>
        <v/>
      </c>
      <c r="AH278">
        <f>IF(AND($AB278=1,Processed_Data!C278="Sana Safinaz"),Processed_Data!J278,"")</f>
        <v>34649</v>
      </c>
      <c r="AI278">
        <f>IF(AND($AB278=1,Processed_Data!C278="J."),Processed_Data!L278,0)</f>
        <v>0</v>
      </c>
      <c r="AJ278">
        <f>IF(AND($AB278=1,Processed_Data!C278="Maria.B"),Processed_Data!L278,0)</f>
        <v>0</v>
      </c>
      <c r="AK278">
        <f>IF(AND($AB278=1,Processed_Data!C278="Sana Safinaz"),Processed_Data!L278,0)</f>
        <v>30</v>
      </c>
    </row>
    <row r="279" spans="21:37">
      <c r="U279" s="4" t="e">
        <f>IF(AND($AB279=1,Processed_Data!C279="J."),Processed_Data!J279,NA())</f>
        <v>#N/A</v>
      </c>
      <c r="V279" s="8" t="e">
        <f>IF(AND($AB279=1,Processed_Data!C279="J."),Processed_Data!L279/100,NA())</f>
        <v>#N/A</v>
      </c>
      <c r="W279" s="4" t="e">
        <f>IF(AND($AB279=1,Processed_Data!C279="Maria.B"),Processed_Data!J279,NA())</f>
        <v>#N/A</v>
      </c>
      <c r="X279" s="8" t="e">
        <f>IF(AND($AB279=1,Processed_Data!C279="Maria.B"),Processed_Data!L279/100,NA())</f>
        <v>#N/A</v>
      </c>
      <c r="Y279" s="4">
        <f>IF(AND($AB279=1,Processed_Data!C279="Sana Safinaz"),Processed_Data!J279,NA())</f>
        <v>32250</v>
      </c>
      <c r="Z279" s="8">
        <f>IF(AND($AB279=1,Processed_Data!C279="Sana Safinaz"),Processed_Data!L279/100,NA())</f>
        <v>0.5</v>
      </c>
      <c r="AB279">
        <f>--AND(OR($B$2="All",Processed_Data!C279=$B$2),OR($B$3="All",Processed_Data!F279=$B$3),OR($B$4="All",Processed_Data!G279=$B$4),OR($B$5="All",Processed_Data!H279=$B$5),OR($B$6="All",Processed_Data!R279=$B$6),OR($B$7="All",Processed_Data!N279=$B$7))</f>
        <v>1</v>
      </c>
      <c r="AC279">
        <f>IF($AB279=1,Processed_Data!J279,"")</f>
        <v>32250</v>
      </c>
      <c r="AD279">
        <f>IF($AB279=1,Processed_Data!L279,0)</f>
        <v>50</v>
      </c>
      <c r="AE279">
        <f>IF($AB279=1,--(Processed_Data!M279="On Sale"),0)</f>
        <v>1</v>
      </c>
      <c r="AF279" t="str">
        <f>IF(AND($AB279=1,Processed_Data!C279="J."),Processed_Data!J279,"")</f>
        <v/>
      </c>
      <c r="AG279" t="str">
        <f>IF(AND($AB279=1,Processed_Data!C279="Maria.B"),Processed_Data!J279,"")</f>
        <v/>
      </c>
      <c r="AH279">
        <f>IF(AND($AB279=1,Processed_Data!C279="Sana Safinaz"),Processed_Data!J279,"")</f>
        <v>32250</v>
      </c>
      <c r="AI279">
        <f>IF(AND($AB279=1,Processed_Data!C279="J."),Processed_Data!L279,0)</f>
        <v>0</v>
      </c>
      <c r="AJ279">
        <f>IF(AND($AB279=1,Processed_Data!C279="Maria.B"),Processed_Data!L279,0)</f>
        <v>0</v>
      </c>
      <c r="AK279">
        <f>IF(AND($AB279=1,Processed_Data!C279="Sana Safinaz"),Processed_Data!L279,0)</f>
        <v>50</v>
      </c>
    </row>
    <row r="280" spans="21:37">
      <c r="U280" s="4" t="e">
        <f>IF(AND($AB280=1,Processed_Data!C280="J."),Processed_Data!J280,NA())</f>
        <v>#N/A</v>
      </c>
      <c r="V280" s="8" t="e">
        <f>IF(AND($AB280=1,Processed_Data!C280="J."),Processed_Data!L280/100,NA())</f>
        <v>#N/A</v>
      </c>
      <c r="W280" s="4" t="e">
        <f>IF(AND($AB280=1,Processed_Data!C280="Maria.B"),Processed_Data!J280,NA())</f>
        <v>#N/A</v>
      </c>
      <c r="X280" s="8" t="e">
        <f>IF(AND($AB280=1,Processed_Data!C280="Maria.B"),Processed_Data!L280/100,NA())</f>
        <v>#N/A</v>
      </c>
      <c r="Y280" s="4">
        <f>IF(AND($AB280=1,Processed_Data!C280="Sana Safinaz"),Processed_Data!J280,NA())</f>
        <v>127499</v>
      </c>
      <c r="Z280" s="8">
        <f>IF(AND($AB280=1,Processed_Data!C280="Sana Safinaz"),Processed_Data!L280/100,NA())</f>
        <v>0</v>
      </c>
      <c r="AB280">
        <f>--AND(OR($B$2="All",Processed_Data!C280=$B$2),OR($B$3="All",Processed_Data!F280=$B$3),OR($B$4="All",Processed_Data!G280=$B$4),OR($B$5="All",Processed_Data!H280=$B$5),OR($B$6="All",Processed_Data!R280=$B$6),OR($B$7="All",Processed_Data!N280=$B$7))</f>
        <v>1</v>
      </c>
      <c r="AC280">
        <f>IF($AB280=1,Processed_Data!J280,"")</f>
        <v>127499</v>
      </c>
      <c r="AD280">
        <f>IF($AB280=1,Processed_Data!L280,0)</f>
        <v>0</v>
      </c>
      <c r="AE280">
        <f>IF($AB280=1,--(Processed_Data!M280="On Sale"),0)</f>
        <v>0</v>
      </c>
      <c r="AF280" t="str">
        <f>IF(AND($AB280=1,Processed_Data!C280="J."),Processed_Data!J280,"")</f>
        <v/>
      </c>
      <c r="AG280" t="str">
        <f>IF(AND($AB280=1,Processed_Data!C280="Maria.B"),Processed_Data!J280,"")</f>
        <v/>
      </c>
      <c r="AH280">
        <f>IF(AND($AB280=1,Processed_Data!C280="Sana Safinaz"),Processed_Data!J280,"")</f>
        <v>127499</v>
      </c>
      <c r="AI280">
        <f>IF(AND($AB280=1,Processed_Data!C280="J."),Processed_Data!L280,0)</f>
        <v>0</v>
      </c>
      <c r="AJ280">
        <f>IF(AND($AB280=1,Processed_Data!C280="Maria.B"),Processed_Data!L280,0)</f>
        <v>0</v>
      </c>
      <c r="AK280">
        <f>IF(AND($AB280=1,Processed_Data!C280="Sana Safinaz"),Processed_Data!L280,0)</f>
        <v>0</v>
      </c>
    </row>
    <row r="281" spans="21:37">
      <c r="U281" s="4" t="e">
        <f>IF(AND($AB281=1,Processed_Data!C281="J."),Processed_Data!J281,NA())</f>
        <v>#N/A</v>
      </c>
      <c r="V281" s="8" t="e">
        <f>IF(AND($AB281=1,Processed_Data!C281="J."),Processed_Data!L281/100,NA())</f>
        <v>#N/A</v>
      </c>
      <c r="W281" s="4" t="e">
        <f>IF(AND($AB281=1,Processed_Data!C281="Maria.B"),Processed_Data!J281,NA())</f>
        <v>#N/A</v>
      </c>
      <c r="X281" s="8" t="e">
        <f>IF(AND($AB281=1,Processed_Data!C281="Maria.B"),Processed_Data!L281/100,NA())</f>
        <v>#N/A</v>
      </c>
      <c r="Y281" s="4">
        <f>IF(AND($AB281=1,Processed_Data!C281="Sana Safinaz"),Processed_Data!J281,NA())</f>
        <v>34679</v>
      </c>
      <c r="Z281" s="8">
        <f>IF(AND($AB281=1,Processed_Data!C281="Sana Safinaz"),Processed_Data!L281/100,NA())</f>
        <v>0.4</v>
      </c>
      <c r="AB281">
        <f>--AND(OR($B$2="All",Processed_Data!C281=$B$2),OR($B$3="All",Processed_Data!F281=$B$3),OR($B$4="All",Processed_Data!G281=$B$4),OR($B$5="All",Processed_Data!H281=$B$5),OR($B$6="All",Processed_Data!R281=$B$6),OR($B$7="All",Processed_Data!N281=$B$7))</f>
        <v>1</v>
      </c>
      <c r="AC281">
        <f>IF($AB281=1,Processed_Data!J281,"")</f>
        <v>34679</v>
      </c>
      <c r="AD281">
        <f>IF($AB281=1,Processed_Data!L281,0)</f>
        <v>40</v>
      </c>
      <c r="AE281">
        <f>IF($AB281=1,--(Processed_Data!M281="On Sale"),0)</f>
        <v>1</v>
      </c>
      <c r="AF281" t="str">
        <f>IF(AND($AB281=1,Processed_Data!C281="J."),Processed_Data!J281,"")</f>
        <v/>
      </c>
      <c r="AG281" t="str">
        <f>IF(AND($AB281=1,Processed_Data!C281="Maria.B"),Processed_Data!J281,"")</f>
        <v/>
      </c>
      <c r="AH281">
        <f>IF(AND($AB281=1,Processed_Data!C281="Sana Safinaz"),Processed_Data!J281,"")</f>
        <v>34679</v>
      </c>
      <c r="AI281">
        <f>IF(AND($AB281=1,Processed_Data!C281="J."),Processed_Data!L281,0)</f>
        <v>0</v>
      </c>
      <c r="AJ281">
        <f>IF(AND($AB281=1,Processed_Data!C281="Maria.B"),Processed_Data!L281,0)</f>
        <v>0</v>
      </c>
      <c r="AK281">
        <f>IF(AND($AB281=1,Processed_Data!C281="Sana Safinaz"),Processed_Data!L281,0)</f>
        <v>40</v>
      </c>
    </row>
    <row r="282" spans="21:37">
      <c r="U282" s="4" t="e">
        <f>IF(AND($AB282=1,Processed_Data!C282="J."),Processed_Data!J282,NA())</f>
        <v>#N/A</v>
      </c>
      <c r="V282" s="8" t="e">
        <f>IF(AND($AB282=1,Processed_Data!C282="J."),Processed_Data!L282/100,NA())</f>
        <v>#N/A</v>
      </c>
      <c r="W282" s="4" t="e">
        <f>IF(AND($AB282=1,Processed_Data!C282="Maria.B"),Processed_Data!J282,NA())</f>
        <v>#N/A</v>
      </c>
      <c r="X282" s="8" t="e">
        <f>IF(AND($AB282=1,Processed_Data!C282="Maria.B"),Processed_Data!L282/100,NA())</f>
        <v>#N/A</v>
      </c>
      <c r="Y282" s="4">
        <f>IF(AND($AB282=1,Processed_Data!C282="Sana Safinaz"),Processed_Data!J282,NA())</f>
        <v>25000</v>
      </c>
      <c r="Z282" s="8">
        <f>IF(AND($AB282=1,Processed_Data!C282="Sana Safinaz"),Processed_Data!L282/100,NA())</f>
        <v>0.57840000000000003</v>
      </c>
      <c r="AB282">
        <f>--AND(OR($B$2="All",Processed_Data!C282=$B$2),OR($B$3="All",Processed_Data!F282=$B$3),OR($B$4="All",Processed_Data!G282=$B$4),OR($B$5="All",Processed_Data!H282=$B$5),OR($B$6="All",Processed_Data!R282=$B$6),OR($B$7="All",Processed_Data!N282=$B$7))</f>
        <v>1</v>
      </c>
      <c r="AC282">
        <f>IF($AB282=1,Processed_Data!J282,"")</f>
        <v>25000</v>
      </c>
      <c r="AD282">
        <f>IF($AB282=1,Processed_Data!L282,0)</f>
        <v>57.84</v>
      </c>
      <c r="AE282">
        <f>IF($AB282=1,--(Processed_Data!M282="On Sale"),0)</f>
        <v>1</v>
      </c>
      <c r="AF282" t="str">
        <f>IF(AND($AB282=1,Processed_Data!C282="J."),Processed_Data!J282,"")</f>
        <v/>
      </c>
      <c r="AG282" t="str">
        <f>IF(AND($AB282=1,Processed_Data!C282="Maria.B"),Processed_Data!J282,"")</f>
        <v/>
      </c>
      <c r="AH282">
        <f>IF(AND($AB282=1,Processed_Data!C282="Sana Safinaz"),Processed_Data!J282,"")</f>
        <v>25000</v>
      </c>
      <c r="AI282">
        <f>IF(AND($AB282=1,Processed_Data!C282="J."),Processed_Data!L282,0)</f>
        <v>0</v>
      </c>
      <c r="AJ282">
        <f>IF(AND($AB282=1,Processed_Data!C282="Maria.B"),Processed_Data!L282,0)</f>
        <v>0</v>
      </c>
      <c r="AK282">
        <f>IF(AND($AB282=1,Processed_Data!C282="Sana Safinaz"),Processed_Data!L282,0)</f>
        <v>57.84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82"/>
  <sheetViews>
    <sheetView topLeftCell="S1" workbookViewId="0">
      <selection activeCell="Z1" activeCellId="1" sqref="Y1:Y1048576 Z1:Z1048576"/>
    </sheetView>
  </sheetViews>
  <sheetFormatPr defaultRowHeight="14"/>
  <cols>
    <col min="1" max="3" width="14" customWidth="1"/>
    <col min="4" max="4" width="30" customWidth="1"/>
    <col min="5" max="7" width="14" customWidth="1"/>
    <col min="8" max="8" width="21" customWidth="1"/>
    <col min="9" max="24" width="14" customWidth="1"/>
    <col min="25" max="25" width="30" hidden="1" customWidth="1"/>
    <col min="26" max="26" width="21" hidden="1" customWidth="1"/>
    <col min="27" max="27" width="14" customWidth="1"/>
  </cols>
  <sheetData>
    <row r="1" spans="1:27">
      <c r="A1" s="1" t="s">
        <v>67</v>
      </c>
      <c r="B1" s="1" t="s">
        <v>68</v>
      </c>
      <c r="C1" s="1" t="s">
        <v>12</v>
      </c>
      <c r="D1" s="1" t="s">
        <v>69</v>
      </c>
      <c r="E1" s="1" t="s">
        <v>70</v>
      </c>
      <c r="F1" s="1" t="s">
        <v>19</v>
      </c>
      <c r="G1" s="1" t="s">
        <v>20</v>
      </c>
      <c r="H1" s="1" t="s">
        <v>21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22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84</v>
      </c>
      <c r="X1" s="1" t="s">
        <v>85</v>
      </c>
      <c r="Y1" s="1" t="s">
        <v>863</v>
      </c>
      <c r="Z1" s="1" t="s">
        <v>864</v>
      </c>
      <c r="AA1" s="1" t="s">
        <v>865</v>
      </c>
    </row>
    <row r="2" spans="1:27">
      <c r="A2" t="s">
        <v>87</v>
      </c>
      <c r="B2">
        <v>46265</v>
      </c>
      <c r="C2" t="s">
        <v>56</v>
      </c>
      <c r="D2" t="s">
        <v>88</v>
      </c>
      <c r="E2" t="s">
        <v>89</v>
      </c>
      <c r="F2" t="s">
        <v>57</v>
      </c>
      <c r="G2" t="s">
        <v>90</v>
      </c>
      <c r="H2" t="s">
        <v>91</v>
      </c>
      <c r="I2" s="2">
        <v>6900</v>
      </c>
      <c r="J2" s="2">
        <v>6900</v>
      </c>
      <c r="K2" s="2">
        <v>0</v>
      </c>
      <c r="L2" s="3">
        <v>0</v>
      </c>
      <c r="M2" t="s">
        <v>92</v>
      </c>
      <c r="N2" t="s">
        <v>51</v>
      </c>
      <c r="O2" t="s">
        <v>93</v>
      </c>
      <c r="P2" s="2">
        <v>6900</v>
      </c>
      <c r="Q2" s="3">
        <v>100</v>
      </c>
      <c r="R2" t="s">
        <v>94</v>
      </c>
      <c r="S2" t="s">
        <v>95</v>
      </c>
      <c r="T2" s="3">
        <v>100</v>
      </c>
      <c r="U2" s="3">
        <v>1.1399999999999999</v>
      </c>
      <c r="V2" s="3">
        <v>60</v>
      </c>
      <c r="W2" s="3">
        <v>100</v>
      </c>
      <c r="X2" s="3">
        <v>65.28</v>
      </c>
      <c r="AA2">
        <v>46265</v>
      </c>
    </row>
    <row r="3" spans="1:27">
      <c r="A3" t="s">
        <v>96</v>
      </c>
      <c r="B3">
        <v>46265</v>
      </c>
      <c r="C3" t="s">
        <v>56</v>
      </c>
      <c r="D3" t="s">
        <v>97</v>
      </c>
      <c r="E3" t="s">
        <v>98</v>
      </c>
      <c r="F3" t="s">
        <v>57</v>
      </c>
      <c r="G3" t="s">
        <v>90</v>
      </c>
      <c r="H3" t="s">
        <v>91</v>
      </c>
      <c r="I3" s="2">
        <v>6900</v>
      </c>
      <c r="J3" s="2">
        <v>6900</v>
      </c>
      <c r="K3" s="2">
        <v>0</v>
      </c>
      <c r="L3" s="3">
        <v>0</v>
      </c>
      <c r="M3" t="s">
        <v>92</v>
      </c>
      <c r="N3" t="s">
        <v>51</v>
      </c>
      <c r="O3" t="s">
        <v>93</v>
      </c>
      <c r="P3" s="2">
        <v>6900</v>
      </c>
      <c r="Q3" s="3">
        <v>100</v>
      </c>
      <c r="R3" t="s">
        <v>94</v>
      </c>
      <c r="S3" t="s">
        <v>95</v>
      </c>
      <c r="T3" s="3">
        <v>100</v>
      </c>
      <c r="U3" s="3">
        <v>1.1399999999999999</v>
      </c>
      <c r="V3" s="3">
        <v>60</v>
      </c>
      <c r="W3" s="3">
        <v>100</v>
      </c>
      <c r="X3" s="3">
        <v>65.28</v>
      </c>
      <c r="AA3">
        <v>46265</v>
      </c>
    </row>
    <row r="4" spans="1:27">
      <c r="A4" t="s">
        <v>99</v>
      </c>
      <c r="B4">
        <v>46265</v>
      </c>
      <c r="C4" t="s">
        <v>56</v>
      </c>
      <c r="D4" t="s">
        <v>100</v>
      </c>
      <c r="E4" t="s">
        <v>101</v>
      </c>
      <c r="F4" t="s">
        <v>57</v>
      </c>
      <c r="G4" t="s">
        <v>90</v>
      </c>
      <c r="H4" t="s">
        <v>91</v>
      </c>
      <c r="I4" s="2">
        <v>6900</v>
      </c>
      <c r="J4" s="2">
        <v>6900</v>
      </c>
      <c r="K4" s="2">
        <v>0</v>
      </c>
      <c r="L4" s="3">
        <v>0</v>
      </c>
      <c r="M4" t="s">
        <v>92</v>
      </c>
      <c r="N4" t="s">
        <v>51</v>
      </c>
      <c r="O4" t="s">
        <v>93</v>
      </c>
      <c r="P4" s="2">
        <v>6900</v>
      </c>
      <c r="Q4" s="3">
        <v>100</v>
      </c>
      <c r="R4" t="s">
        <v>94</v>
      </c>
      <c r="S4" t="s">
        <v>95</v>
      </c>
      <c r="T4" s="3">
        <v>100</v>
      </c>
      <c r="U4" s="3">
        <v>1.1399999999999999</v>
      </c>
      <c r="V4" s="3">
        <v>60</v>
      </c>
      <c r="W4" s="3">
        <v>100</v>
      </c>
      <c r="X4" s="3">
        <v>65.28</v>
      </c>
      <c r="AA4">
        <v>46265</v>
      </c>
    </row>
    <row r="5" spans="1:27">
      <c r="A5" t="s">
        <v>102</v>
      </c>
      <c r="B5">
        <v>46265</v>
      </c>
      <c r="C5" t="s">
        <v>56</v>
      </c>
      <c r="D5" t="s">
        <v>103</v>
      </c>
      <c r="E5" t="s">
        <v>104</v>
      </c>
      <c r="F5" t="s">
        <v>57</v>
      </c>
      <c r="G5" t="s">
        <v>90</v>
      </c>
      <c r="H5" t="s">
        <v>91</v>
      </c>
      <c r="I5" s="2">
        <v>6900</v>
      </c>
      <c r="J5" s="2">
        <v>6900</v>
      </c>
      <c r="K5" s="2">
        <v>0</v>
      </c>
      <c r="L5" s="3">
        <v>0</v>
      </c>
      <c r="M5" t="s">
        <v>92</v>
      </c>
      <c r="N5" t="s">
        <v>51</v>
      </c>
      <c r="O5" t="s">
        <v>93</v>
      </c>
      <c r="P5" s="2">
        <v>6900</v>
      </c>
      <c r="Q5" s="3">
        <v>100</v>
      </c>
      <c r="R5" t="s">
        <v>94</v>
      </c>
      <c r="S5" t="s">
        <v>95</v>
      </c>
      <c r="T5" s="3">
        <v>100</v>
      </c>
      <c r="U5" s="3">
        <v>1.1399999999999999</v>
      </c>
      <c r="V5" s="3">
        <v>60</v>
      </c>
      <c r="W5" s="3">
        <v>100</v>
      </c>
      <c r="X5" s="3">
        <v>65.28</v>
      </c>
      <c r="AA5">
        <v>46265</v>
      </c>
    </row>
    <row r="6" spans="1:27">
      <c r="A6" t="s">
        <v>105</v>
      </c>
      <c r="B6">
        <v>46265</v>
      </c>
      <c r="C6" t="s">
        <v>56</v>
      </c>
      <c r="D6" t="s">
        <v>106</v>
      </c>
      <c r="E6" t="s">
        <v>107</v>
      </c>
      <c r="F6" t="s">
        <v>57</v>
      </c>
      <c r="G6" t="s">
        <v>90</v>
      </c>
      <c r="H6" t="s">
        <v>91</v>
      </c>
      <c r="I6" s="2">
        <v>4500</v>
      </c>
      <c r="J6" s="2">
        <v>4500</v>
      </c>
      <c r="K6" s="2">
        <v>0</v>
      </c>
      <c r="L6" s="3">
        <v>0</v>
      </c>
      <c r="M6" t="s">
        <v>92</v>
      </c>
      <c r="N6" t="s">
        <v>51</v>
      </c>
      <c r="O6" t="s">
        <v>93</v>
      </c>
      <c r="P6" s="2">
        <v>6900</v>
      </c>
      <c r="Q6" s="3">
        <v>65.22</v>
      </c>
      <c r="R6" t="s">
        <v>94</v>
      </c>
      <c r="S6" t="s">
        <v>95</v>
      </c>
      <c r="T6" s="3">
        <v>100</v>
      </c>
      <c r="U6" s="3">
        <v>1.1399999999999999</v>
      </c>
      <c r="V6" s="3">
        <v>60</v>
      </c>
      <c r="W6" s="3">
        <v>100</v>
      </c>
      <c r="X6" s="3">
        <v>65.28</v>
      </c>
      <c r="AA6">
        <v>46265</v>
      </c>
    </row>
    <row r="7" spans="1:27">
      <c r="A7" t="s">
        <v>108</v>
      </c>
      <c r="B7">
        <v>46265</v>
      </c>
      <c r="C7" t="s">
        <v>56</v>
      </c>
      <c r="D7" t="s">
        <v>109</v>
      </c>
      <c r="E7" t="s">
        <v>110</v>
      </c>
      <c r="F7" t="s">
        <v>57</v>
      </c>
      <c r="G7" t="s">
        <v>90</v>
      </c>
      <c r="H7" t="s">
        <v>91</v>
      </c>
      <c r="I7" s="2">
        <v>5500</v>
      </c>
      <c r="J7" s="2">
        <v>5500</v>
      </c>
      <c r="K7" s="2">
        <v>0</v>
      </c>
      <c r="L7" s="3">
        <v>0</v>
      </c>
      <c r="M7" t="s">
        <v>92</v>
      </c>
      <c r="N7" t="s">
        <v>51</v>
      </c>
      <c r="O7" t="s">
        <v>93</v>
      </c>
      <c r="P7" s="2">
        <v>6900</v>
      </c>
      <c r="Q7" s="3">
        <v>79.709999999999994</v>
      </c>
      <c r="R7" t="s">
        <v>94</v>
      </c>
      <c r="S7" t="s">
        <v>95</v>
      </c>
      <c r="T7" s="3">
        <v>100</v>
      </c>
      <c r="U7" s="3">
        <v>1.1399999999999999</v>
      </c>
      <c r="V7" s="3">
        <v>60</v>
      </c>
      <c r="W7" s="3">
        <v>100</v>
      </c>
      <c r="X7" s="3">
        <v>65.28</v>
      </c>
      <c r="AA7">
        <v>46265</v>
      </c>
    </row>
    <row r="8" spans="1:27">
      <c r="A8" t="s">
        <v>111</v>
      </c>
      <c r="B8">
        <v>46265</v>
      </c>
      <c r="C8" t="s">
        <v>56</v>
      </c>
      <c r="D8" t="s">
        <v>112</v>
      </c>
      <c r="E8" t="s">
        <v>113</v>
      </c>
      <c r="F8" t="s">
        <v>57</v>
      </c>
      <c r="G8" t="s">
        <v>90</v>
      </c>
      <c r="H8" t="s">
        <v>91</v>
      </c>
      <c r="I8" s="2">
        <v>5500</v>
      </c>
      <c r="J8" s="2">
        <v>5500</v>
      </c>
      <c r="K8" s="2">
        <v>0</v>
      </c>
      <c r="L8" s="3">
        <v>0</v>
      </c>
      <c r="M8" t="s">
        <v>92</v>
      </c>
      <c r="N8" t="s">
        <v>51</v>
      </c>
      <c r="O8" t="s">
        <v>93</v>
      </c>
      <c r="P8" s="2">
        <v>6900</v>
      </c>
      <c r="Q8" s="3">
        <v>79.709999999999994</v>
      </c>
      <c r="R8" t="s">
        <v>94</v>
      </c>
      <c r="S8" t="s">
        <v>95</v>
      </c>
      <c r="T8" s="3">
        <v>100</v>
      </c>
      <c r="U8" s="3">
        <v>1.1399999999999999</v>
      </c>
      <c r="V8" s="3">
        <v>60</v>
      </c>
      <c r="W8" s="3">
        <v>100</v>
      </c>
      <c r="X8" s="3">
        <v>65.28</v>
      </c>
      <c r="AA8">
        <v>46265</v>
      </c>
    </row>
    <row r="9" spans="1:27">
      <c r="A9" t="s">
        <v>114</v>
      </c>
      <c r="B9">
        <v>46265</v>
      </c>
      <c r="C9" t="s">
        <v>56</v>
      </c>
      <c r="D9" t="s">
        <v>115</v>
      </c>
      <c r="E9" t="s">
        <v>116</v>
      </c>
      <c r="F9" t="s">
        <v>57</v>
      </c>
      <c r="G9" t="s">
        <v>90</v>
      </c>
      <c r="H9" t="s">
        <v>91</v>
      </c>
      <c r="I9" s="2">
        <v>5900</v>
      </c>
      <c r="J9" s="2">
        <v>5900</v>
      </c>
      <c r="K9" s="2">
        <v>0</v>
      </c>
      <c r="L9" s="3">
        <v>0</v>
      </c>
      <c r="M9" t="s">
        <v>92</v>
      </c>
      <c r="N9" t="s">
        <v>51</v>
      </c>
      <c r="O9" t="s">
        <v>93</v>
      </c>
      <c r="P9" s="2">
        <v>6900</v>
      </c>
      <c r="Q9" s="3">
        <v>85.51</v>
      </c>
      <c r="R9" t="s">
        <v>94</v>
      </c>
      <c r="S9" t="s">
        <v>95</v>
      </c>
      <c r="T9" s="3">
        <v>100</v>
      </c>
      <c r="U9" s="3">
        <v>1.1399999999999999</v>
      </c>
      <c r="V9" s="3">
        <v>60</v>
      </c>
      <c r="W9" s="3">
        <v>100</v>
      </c>
      <c r="X9" s="3">
        <v>65.28</v>
      </c>
      <c r="AA9">
        <v>46265</v>
      </c>
    </row>
    <row r="10" spans="1:27">
      <c r="A10" t="s">
        <v>117</v>
      </c>
      <c r="B10">
        <v>46265</v>
      </c>
      <c r="C10" t="s">
        <v>56</v>
      </c>
      <c r="D10" t="s">
        <v>118</v>
      </c>
      <c r="E10" t="s">
        <v>119</v>
      </c>
      <c r="F10" t="s">
        <v>57</v>
      </c>
      <c r="G10" t="s">
        <v>90</v>
      </c>
      <c r="H10" t="s">
        <v>91</v>
      </c>
      <c r="I10" s="2">
        <v>5900</v>
      </c>
      <c r="J10" s="2">
        <v>5900</v>
      </c>
      <c r="K10" s="2">
        <v>0</v>
      </c>
      <c r="L10" s="3">
        <v>0</v>
      </c>
      <c r="M10" t="s">
        <v>92</v>
      </c>
      <c r="N10" t="s">
        <v>51</v>
      </c>
      <c r="O10" t="s">
        <v>93</v>
      </c>
      <c r="P10" s="2">
        <v>6900</v>
      </c>
      <c r="Q10" s="3">
        <v>85.51</v>
      </c>
      <c r="R10" t="s">
        <v>94</v>
      </c>
      <c r="S10" t="s">
        <v>95</v>
      </c>
      <c r="T10" s="3">
        <v>100</v>
      </c>
      <c r="U10" s="3">
        <v>1.1399999999999999</v>
      </c>
      <c r="V10" s="3">
        <v>60</v>
      </c>
      <c r="W10" s="3">
        <v>100</v>
      </c>
      <c r="X10" s="3">
        <v>65.28</v>
      </c>
      <c r="AA10">
        <v>46265</v>
      </c>
    </row>
    <row r="11" spans="1:27">
      <c r="A11" t="s">
        <v>120</v>
      </c>
      <c r="B11">
        <v>46265</v>
      </c>
      <c r="C11" t="s">
        <v>56</v>
      </c>
      <c r="D11" t="s">
        <v>121</v>
      </c>
      <c r="E11" t="s">
        <v>122</v>
      </c>
      <c r="F11" t="s">
        <v>57</v>
      </c>
      <c r="G11" t="s">
        <v>90</v>
      </c>
      <c r="H11" t="s">
        <v>91</v>
      </c>
      <c r="I11" s="2">
        <v>5900</v>
      </c>
      <c r="J11" s="2">
        <v>5900</v>
      </c>
      <c r="K11" s="2">
        <v>0</v>
      </c>
      <c r="L11" s="3">
        <v>0</v>
      </c>
      <c r="M11" t="s">
        <v>92</v>
      </c>
      <c r="N11" t="s">
        <v>51</v>
      </c>
      <c r="O11" t="s">
        <v>93</v>
      </c>
      <c r="P11" s="2">
        <v>6900</v>
      </c>
      <c r="Q11" s="3">
        <v>85.51</v>
      </c>
      <c r="R11" t="s">
        <v>94</v>
      </c>
      <c r="S11" t="s">
        <v>95</v>
      </c>
      <c r="T11" s="3">
        <v>100</v>
      </c>
      <c r="U11" s="3">
        <v>1.1399999999999999</v>
      </c>
      <c r="V11" s="3">
        <v>60</v>
      </c>
      <c r="W11" s="3">
        <v>100</v>
      </c>
      <c r="X11" s="3">
        <v>65.28</v>
      </c>
      <c r="AA11">
        <v>46265</v>
      </c>
    </row>
    <row r="12" spans="1:27">
      <c r="A12" t="s">
        <v>123</v>
      </c>
      <c r="B12">
        <v>46265</v>
      </c>
      <c r="C12" t="s">
        <v>56</v>
      </c>
      <c r="D12" t="s">
        <v>124</v>
      </c>
      <c r="E12" t="s">
        <v>125</v>
      </c>
      <c r="F12" t="s">
        <v>57</v>
      </c>
      <c r="G12" t="s">
        <v>126</v>
      </c>
      <c r="H12" t="s">
        <v>91</v>
      </c>
      <c r="I12" s="2">
        <v>4990</v>
      </c>
      <c r="J12" s="2">
        <v>4990</v>
      </c>
      <c r="K12" s="2">
        <v>0</v>
      </c>
      <c r="L12" s="3">
        <v>0</v>
      </c>
      <c r="M12" t="s">
        <v>92</v>
      </c>
      <c r="N12" t="s">
        <v>51</v>
      </c>
      <c r="O12" t="s">
        <v>93</v>
      </c>
      <c r="P12" s="2">
        <v>6900</v>
      </c>
      <c r="Q12" s="3">
        <v>72.319999999999993</v>
      </c>
      <c r="R12" t="s">
        <v>94</v>
      </c>
      <c r="S12" t="s">
        <v>95</v>
      </c>
      <c r="T12" s="3">
        <v>100</v>
      </c>
      <c r="U12" s="3">
        <v>1.1399999999999999</v>
      </c>
      <c r="V12" s="3">
        <v>60</v>
      </c>
      <c r="W12" s="3">
        <v>100</v>
      </c>
      <c r="X12" s="3">
        <v>65.28</v>
      </c>
      <c r="AA12">
        <v>46265</v>
      </c>
    </row>
    <row r="13" spans="1:27">
      <c r="A13" t="s">
        <v>127</v>
      </c>
      <c r="B13">
        <v>46265</v>
      </c>
      <c r="C13" t="s">
        <v>56</v>
      </c>
      <c r="D13" t="s">
        <v>128</v>
      </c>
      <c r="E13" t="s">
        <v>129</v>
      </c>
      <c r="F13" t="s">
        <v>57</v>
      </c>
      <c r="G13" t="s">
        <v>126</v>
      </c>
      <c r="H13" t="s">
        <v>91</v>
      </c>
      <c r="I13" s="2">
        <v>4990</v>
      </c>
      <c r="J13" s="2">
        <v>4990</v>
      </c>
      <c r="K13" s="2">
        <v>0</v>
      </c>
      <c r="L13" s="3">
        <v>0</v>
      </c>
      <c r="M13" t="s">
        <v>92</v>
      </c>
      <c r="N13" t="s">
        <v>51</v>
      </c>
      <c r="O13" t="s">
        <v>93</v>
      </c>
      <c r="P13" s="2">
        <v>6900</v>
      </c>
      <c r="Q13" s="3">
        <v>72.319999999999993</v>
      </c>
      <c r="R13" t="s">
        <v>94</v>
      </c>
      <c r="S13" t="s">
        <v>95</v>
      </c>
      <c r="T13" s="3">
        <v>100</v>
      </c>
      <c r="U13" s="3">
        <v>1.1399999999999999</v>
      </c>
      <c r="V13" s="3">
        <v>60</v>
      </c>
      <c r="W13" s="3">
        <v>100</v>
      </c>
      <c r="X13" s="3">
        <v>65.28</v>
      </c>
      <c r="AA13">
        <v>46265</v>
      </c>
    </row>
    <row r="14" spans="1:27">
      <c r="A14" t="s">
        <v>130</v>
      </c>
      <c r="B14">
        <v>46265</v>
      </c>
      <c r="C14" t="s">
        <v>56</v>
      </c>
      <c r="D14" t="s">
        <v>131</v>
      </c>
      <c r="E14" t="s">
        <v>132</v>
      </c>
      <c r="F14" t="s">
        <v>57</v>
      </c>
      <c r="G14" t="s">
        <v>126</v>
      </c>
      <c r="H14" t="s">
        <v>91</v>
      </c>
      <c r="I14" s="2">
        <v>4990</v>
      </c>
      <c r="J14" s="2">
        <v>4990</v>
      </c>
      <c r="K14" s="2">
        <v>0</v>
      </c>
      <c r="L14" s="3">
        <v>0</v>
      </c>
      <c r="M14" t="s">
        <v>92</v>
      </c>
      <c r="N14" t="s">
        <v>51</v>
      </c>
      <c r="O14" t="s">
        <v>93</v>
      </c>
      <c r="P14" s="2">
        <v>6900</v>
      </c>
      <c r="Q14" s="3">
        <v>72.319999999999993</v>
      </c>
      <c r="R14" t="s">
        <v>94</v>
      </c>
      <c r="S14" t="s">
        <v>95</v>
      </c>
      <c r="T14" s="3">
        <v>100</v>
      </c>
      <c r="U14" s="3">
        <v>1.1399999999999999</v>
      </c>
      <c r="V14" s="3">
        <v>60</v>
      </c>
      <c r="W14" s="3">
        <v>100</v>
      </c>
      <c r="X14" s="3">
        <v>65.28</v>
      </c>
      <c r="AA14">
        <v>46265</v>
      </c>
    </row>
    <row r="15" spans="1:27">
      <c r="A15" t="s">
        <v>133</v>
      </c>
      <c r="B15">
        <v>46265</v>
      </c>
      <c r="C15" t="s">
        <v>56</v>
      </c>
      <c r="D15" t="s">
        <v>134</v>
      </c>
      <c r="E15" t="s">
        <v>135</v>
      </c>
      <c r="F15" t="s">
        <v>57</v>
      </c>
      <c r="G15" t="s">
        <v>126</v>
      </c>
      <c r="H15" t="s">
        <v>91</v>
      </c>
      <c r="I15" s="2">
        <v>4990</v>
      </c>
      <c r="J15" s="2">
        <v>4990</v>
      </c>
      <c r="K15" s="2">
        <v>0</v>
      </c>
      <c r="L15" s="3">
        <v>0</v>
      </c>
      <c r="M15" t="s">
        <v>92</v>
      </c>
      <c r="N15" t="s">
        <v>51</v>
      </c>
      <c r="O15" t="s">
        <v>93</v>
      </c>
      <c r="P15" s="2">
        <v>6900</v>
      </c>
      <c r="Q15" s="3">
        <v>72.319999999999993</v>
      </c>
      <c r="R15" t="s">
        <v>94</v>
      </c>
      <c r="S15" t="s">
        <v>95</v>
      </c>
      <c r="T15" s="3">
        <v>100</v>
      </c>
      <c r="U15" s="3">
        <v>1.1399999999999999</v>
      </c>
      <c r="V15" s="3">
        <v>60</v>
      </c>
      <c r="W15" s="3">
        <v>100</v>
      </c>
      <c r="X15" s="3">
        <v>65.28</v>
      </c>
      <c r="AA15">
        <v>46265</v>
      </c>
    </row>
    <row r="16" spans="1:27">
      <c r="A16" t="s">
        <v>136</v>
      </c>
      <c r="B16">
        <v>46265</v>
      </c>
      <c r="C16" t="s">
        <v>56</v>
      </c>
      <c r="D16" t="s">
        <v>137</v>
      </c>
      <c r="E16" t="s">
        <v>138</v>
      </c>
      <c r="F16" t="s">
        <v>57</v>
      </c>
      <c r="G16" t="s">
        <v>139</v>
      </c>
      <c r="H16" t="s">
        <v>91</v>
      </c>
      <c r="I16" s="2">
        <v>6990</v>
      </c>
      <c r="J16" s="2">
        <v>6990</v>
      </c>
      <c r="K16" s="2">
        <v>0</v>
      </c>
      <c r="L16" s="3">
        <v>0</v>
      </c>
      <c r="M16" t="s">
        <v>92</v>
      </c>
      <c r="N16" t="s">
        <v>51</v>
      </c>
      <c r="O16" t="s">
        <v>93</v>
      </c>
      <c r="P16" s="2">
        <v>6900</v>
      </c>
      <c r="Q16" s="3">
        <v>101.3</v>
      </c>
      <c r="R16" t="s">
        <v>94</v>
      </c>
      <c r="S16" t="s">
        <v>95</v>
      </c>
      <c r="T16" s="3">
        <v>100</v>
      </c>
      <c r="U16" s="3">
        <v>1.1399999999999999</v>
      </c>
      <c r="V16" s="3">
        <v>60</v>
      </c>
      <c r="W16" s="3">
        <v>100</v>
      </c>
      <c r="X16" s="3">
        <v>65.28</v>
      </c>
      <c r="AA16">
        <v>46265</v>
      </c>
    </row>
    <row r="17" spans="1:27">
      <c r="A17" t="s">
        <v>140</v>
      </c>
      <c r="B17">
        <v>46265</v>
      </c>
      <c r="C17" t="s">
        <v>56</v>
      </c>
      <c r="D17" t="s">
        <v>141</v>
      </c>
      <c r="E17" t="s">
        <v>142</v>
      </c>
      <c r="F17" t="s">
        <v>57</v>
      </c>
      <c r="G17" t="s">
        <v>139</v>
      </c>
      <c r="H17" t="s">
        <v>91</v>
      </c>
      <c r="I17" s="2">
        <v>6990</v>
      </c>
      <c r="J17" s="2">
        <v>6990</v>
      </c>
      <c r="K17" s="2">
        <v>0</v>
      </c>
      <c r="L17" s="3">
        <v>0</v>
      </c>
      <c r="M17" t="s">
        <v>92</v>
      </c>
      <c r="N17" t="s">
        <v>51</v>
      </c>
      <c r="O17" t="s">
        <v>93</v>
      </c>
      <c r="P17" s="2">
        <v>6900</v>
      </c>
      <c r="Q17" s="3">
        <v>101.3</v>
      </c>
      <c r="R17" t="s">
        <v>94</v>
      </c>
      <c r="S17" t="s">
        <v>95</v>
      </c>
      <c r="T17" s="3">
        <v>100</v>
      </c>
      <c r="U17" s="3">
        <v>1.1399999999999999</v>
      </c>
      <c r="V17" s="3">
        <v>60</v>
      </c>
      <c r="W17" s="3">
        <v>100</v>
      </c>
      <c r="X17" s="3">
        <v>65.28</v>
      </c>
      <c r="AA17">
        <v>46265</v>
      </c>
    </row>
    <row r="18" spans="1:27">
      <c r="A18" t="s">
        <v>143</v>
      </c>
      <c r="B18">
        <v>46265</v>
      </c>
      <c r="C18" t="s">
        <v>56</v>
      </c>
      <c r="D18" t="s">
        <v>144</v>
      </c>
      <c r="E18" t="s">
        <v>145</v>
      </c>
      <c r="F18" t="s">
        <v>57</v>
      </c>
      <c r="G18" t="s">
        <v>139</v>
      </c>
      <c r="H18" t="s">
        <v>91</v>
      </c>
      <c r="I18" s="2">
        <v>6990</v>
      </c>
      <c r="J18" s="2">
        <v>6990</v>
      </c>
      <c r="K18" s="2">
        <v>0</v>
      </c>
      <c r="L18" s="3">
        <v>0</v>
      </c>
      <c r="M18" t="s">
        <v>92</v>
      </c>
      <c r="N18" t="s">
        <v>51</v>
      </c>
      <c r="O18" t="s">
        <v>93</v>
      </c>
      <c r="P18" s="2">
        <v>6900</v>
      </c>
      <c r="Q18" s="3">
        <v>101.3</v>
      </c>
      <c r="R18" t="s">
        <v>94</v>
      </c>
      <c r="S18" t="s">
        <v>95</v>
      </c>
      <c r="T18" s="3">
        <v>100</v>
      </c>
      <c r="U18" s="3">
        <v>1.1399999999999999</v>
      </c>
      <c r="V18" s="3">
        <v>60</v>
      </c>
      <c r="W18" s="3">
        <v>100</v>
      </c>
      <c r="X18" s="3">
        <v>65.28</v>
      </c>
      <c r="AA18">
        <v>46265</v>
      </c>
    </row>
    <row r="19" spans="1:27">
      <c r="A19" t="s">
        <v>146</v>
      </c>
      <c r="B19">
        <v>46265</v>
      </c>
      <c r="C19" t="s">
        <v>56</v>
      </c>
      <c r="D19" t="s">
        <v>147</v>
      </c>
      <c r="E19" t="s">
        <v>148</v>
      </c>
      <c r="F19" t="s">
        <v>57</v>
      </c>
      <c r="G19" t="s">
        <v>139</v>
      </c>
      <c r="H19" t="s">
        <v>91</v>
      </c>
      <c r="I19" s="2">
        <v>6990</v>
      </c>
      <c r="J19" s="2">
        <v>6990</v>
      </c>
      <c r="K19" s="2">
        <v>0</v>
      </c>
      <c r="L19" s="3">
        <v>0</v>
      </c>
      <c r="M19" t="s">
        <v>92</v>
      </c>
      <c r="N19" t="s">
        <v>51</v>
      </c>
      <c r="O19" t="s">
        <v>93</v>
      </c>
      <c r="P19" s="2">
        <v>6900</v>
      </c>
      <c r="Q19" s="3">
        <v>101.3</v>
      </c>
      <c r="R19" t="s">
        <v>94</v>
      </c>
      <c r="S19" t="s">
        <v>95</v>
      </c>
      <c r="T19" s="3">
        <v>100</v>
      </c>
      <c r="U19" s="3">
        <v>1.1399999999999999</v>
      </c>
      <c r="V19" s="3">
        <v>60</v>
      </c>
      <c r="W19" s="3">
        <v>100</v>
      </c>
      <c r="X19" s="3">
        <v>65.28</v>
      </c>
      <c r="AA19">
        <v>46265</v>
      </c>
    </row>
    <row r="20" spans="1:27">
      <c r="A20" t="s">
        <v>149</v>
      </c>
      <c r="B20">
        <v>46265</v>
      </c>
      <c r="C20" t="s">
        <v>56</v>
      </c>
      <c r="D20" t="s">
        <v>150</v>
      </c>
      <c r="E20" t="s">
        <v>151</v>
      </c>
      <c r="F20" t="s">
        <v>57</v>
      </c>
      <c r="G20" t="s">
        <v>139</v>
      </c>
      <c r="H20" t="s">
        <v>91</v>
      </c>
      <c r="I20" s="2">
        <v>5990</v>
      </c>
      <c r="J20" s="2">
        <v>5990</v>
      </c>
      <c r="K20" s="2">
        <v>0</v>
      </c>
      <c r="L20" s="3">
        <v>0</v>
      </c>
      <c r="M20" t="s">
        <v>92</v>
      </c>
      <c r="N20" t="s">
        <v>51</v>
      </c>
      <c r="O20" t="s">
        <v>93</v>
      </c>
      <c r="P20" s="2">
        <v>6900</v>
      </c>
      <c r="Q20" s="3">
        <v>86.81</v>
      </c>
      <c r="R20" t="s">
        <v>94</v>
      </c>
      <c r="S20" t="s">
        <v>95</v>
      </c>
      <c r="T20" s="3">
        <v>100</v>
      </c>
      <c r="U20" s="3">
        <v>1.1399999999999999</v>
      </c>
      <c r="V20" s="3">
        <v>60</v>
      </c>
      <c r="W20" s="3">
        <v>100</v>
      </c>
      <c r="X20" s="3">
        <v>65.28</v>
      </c>
      <c r="AA20">
        <v>46265</v>
      </c>
    </row>
    <row r="21" spans="1:27">
      <c r="A21" t="s">
        <v>152</v>
      </c>
      <c r="B21">
        <v>46265</v>
      </c>
      <c r="C21" t="s">
        <v>56</v>
      </c>
      <c r="D21" t="s">
        <v>153</v>
      </c>
      <c r="E21" t="s">
        <v>154</v>
      </c>
      <c r="F21" t="s">
        <v>57</v>
      </c>
      <c r="G21" t="s">
        <v>139</v>
      </c>
      <c r="H21" t="s">
        <v>91</v>
      </c>
      <c r="I21" s="2">
        <v>5990</v>
      </c>
      <c r="J21" s="2">
        <v>5990</v>
      </c>
      <c r="K21" s="2">
        <v>0</v>
      </c>
      <c r="L21" s="3">
        <v>0</v>
      </c>
      <c r="M21" t="s">
        <v>92</v>
      </c>
      <c r="N21" t="s">
        <v>51</v>
      </c>
      <c r="O21" t="s">
        <v>93</v>
      </c>
      <c r="P21" s="2">
        <v>6900</v>
      </c>
      <c r="Q21" s="3">
        <v>86.81</v>
      </c>
      <c r="R21" t="s">
        <v>94</v>
      </c>
      <c r="S21" t="s">
        <v>95</v>
      </c>
      <c r="T21" s="3">
        <v>100</v>
      </c>
      <c r="U21" s="3">
        <v>1.1399999999999999</v>
      </c>
      <c r="V21" s="3">
        <v>60</v>
      </c>
      <c r="W21" s="3">
        <v>100</v>
      </c>
      <c r="X21" s="3">
        <v>65.28</v>
      </c>
      <c r="AA21">
        <v>46265</v>
      </c>
    </row>
    <row r="22" spans="1:27">
      <c r="A22" t="s">
        <v>155</v>
      </c>
      <c r="B22">
        <v>46265</v>
      </c>
      <c r="C22" t="s">
        <v>56</v>
      </c>
      <c r="D22" t="s">
        <v>156</v>
      </c>
      <c r="E22" t="s">
        <v>157</v>
      </c>
      <c r="F22" t="s">
        <v>57</v>
      </c>
      <c r="G22" t="s">
        <v>139</v>
      </c>
      <c r="H22" t="s">
        <v>91</v>
      </c>
      <c r="I22" s="2">
        <v>5990</v>
      </c>
      <c r="J22" s="2">
        <v>5990</v>
      </c>
      <c r="K22" s="2">
        <v>0</v>
      </c>
      <c r="L22" s="3">
        <v>0</v>
      </c>
      <c r="M22" t="s">
        <v>92</v>
      </c>
      <c r="N22" t="s">
        <v>51</v>
      </c>
      <c r="O22" t="s">
        <v>93</v>
      </c>
      <c r="P22" s="2">
        <v>6900</v>
      </c>
      <c r="Q22" s="3">
        <v>86.81</v>
      </c>
      <c r="R22" t="s">
        <v>94</v>
      </c>
      <c r="S22" t="s">
        <v>95</v>
      </c>
      <c r="T22" s="3">
        <v>100</v>
      </c>
      <c r="U22" s="3">
        <v>1.1399999999999999</v>
      </c>
      <c r="V22" s="3">
        <v>60</v>
      </c>
      <c r="W22" s="3">
        <v>100</v>
      </c>
      <c r="X22" s="3">
        <v>65.28</v>
      </c>
      <c r="AA22">
        <v>46265</v>
      </c>
    </row>
    <row r="23" spans="1:27">
      <c r="A23" t="s">
        <v>158</v>
      </c>
      <c r="B23">
        <v>46265</v>
      </c>
      <c r="C23" t="s">
        <v>56</v>
      </c>
      <c r="D23" t="s">
        <v>159</v>
      </c>
      <c r="E23" t="s">
        <v>160</v>
      </c>
      <c r="F23" t="s">
        <v>57</v>
      </c>
      <c r="G23" t="s">
        <v>139</v>
      </c>
      <c r="H23" t="s">
        <v>91</v>
      </c>
      <c r="I23" s="2">
        <v>5990</v>
      </c>
      <c r="J23" s="2">
        <v>5990</v>
      </c>
      <c r="K23" s="2">
        <v>0</v>
      </c>
      <c r="L23" s="3">
        <v>0</v>
      </c>
      <c r="M23" t="s">
        <v>92</v>
      </c>
      <c r="N23" t="s">
        <v>51</v>
      </c>
      <c r="O23" t="s">
        <v>93</v>
      </c>
      <c r="P23" s="2">
        <v>6900</v>
      </c>
      <c r="Q23" s="3">
        <v>86.81</v>
      </c>
      <c r="R23" t="s">
        <v>94</v>
      </c>
      <c r="S23" t="s">
        <v>95</v>
      </c>
      <c r="T23" s="3">
        <v>100</v>
      </c>
      <c r="U23" s="3">
        <v>1.1399999999999999</v>
      </c>
      <c r="V23" s="3">
        <v>60</v>
      </c>
      <c r="W23" s="3">
        <v>100</v>
      </c>
      <c r="X23" s="3">
        <v>65.28</v>
      </c>
      <c r="AA23">
        <v>46265</v>
      </c>
    </row>
    <row r="24" spans="1:27">
      <c r="A24" t="s">
        <v>161</v>
      </c>
      <c r="B24">
        <v>46265</v>
      </c>
      <c r="C24" t="s">
        <v>56</v>
      </c>
      <c r="D24" t="s">
        <v>162</v>
      </c>
      <c r="E24" t="s">
        <v>163</v>
      </c>
      <c r="F24" t="s">
        <v>57</v>
      </c>
      <c r="G24" t="s">
        <v>139</v>
      </c>
      <c r="H24" t="s">
        <v>91</v>
      </c>
      <c r="I24" s="2">
        <v>7490</v>
      </c>
      <c r="J24" s="2">
        <v>7490</v>
      </c>
      <c r="K24" s="2">
        <v>0</v>
      </c>
      <c r="L24" s="3">
        <v>0</v>
      </c>
      <c r="M24" t="s">
        <v>92</v>
      </c>
      <c r="N24" t="s">
        <v>51</v>
      </c>
      <c r="O24" t="s">
        <v>93</v>
      </c>
      <c r="P24" s="2">
        <v>6900</v>
      </c>
      <c r="Q24" s="3">
        <v>108.55</v>
      </c>
      <c r="R24" t="s">
        <v>94</v>
      </c>
      <c r="S24" t="s">
        <v>95</v>
      </c>
      <c r="T24" s="3">
        <v>100</v>
      </c>
      <c r="U24" s="3">
        <v>1.1399999999999999</v>
      </c>
      <c r="V24" s="3">
        <v>60</v>
      </c>
      <c r="W24" s="3">
        <v>100</v>
      </c>
      <c r="X24" s="3">
        <v>65.28</v>
      </c>
      <c r="AA24">
        <v>46265</v>
      </c>
    </row>
    <row r="25" spans="1:27">
      <c r="A25" t="s">
        <v>164</v>
      </c>
      <c r="B25">
        <v>46265</v>
      </c>
      <c r="C25" t="s">
        <v>56</v>
      </c>
      <c r="D25" t="s">
        <v>165</v>
      </c>
      <c r="E25" t="s">
        <v>166</v>
      </c>
      <c r="F25" t="s">
        <v>57</v>
      </c>
      <c r="G25" t="s">
        <v>139</v>
      </c>
      <c r="H25" t="s">
        <v>91</v>
      </c>
      <c r="I25" s="2">
        <v>7490</v>
      </c>
      <c r="J25" s="2">
        <v>7490</v>
      </c>
      <c r="K25" s="2">
        <v>0</v>
      </c>
      <c r="L25" s="3">
        <v>0</v>
      </c>
      <c r="M25" t="s">
        <v>92</v>
      </c>
      <c r="N25" t="s">
        <v>51</v>
      </c>
      <c r="O25" t="s">
        <v>93</v>
      </c>
      <c r="P25" s="2">
        <v>6900</v>
      </c>
      <c r="Q25" s="3">
        <v>108.55</v>
      </c>
      <c r="R25" t="s">
        <v>94</v>
      </c>
      <c r="S25" t="s">
        <v>95</v>
      </c>
      <c r="T25" s="3">
        <v>100</v>
      </c>
      <c r="U25" s="3">
        <v>1.1399999999999999</v>
      </c>
      <c r="V25" s="3">
        <v>60</v>
      </c>
      <c r="W25" s="3">
        <v>100</v>
      </c>
      <c r="X25" s="3">
        <v>65.28</v>
      </c>
      <c r="AA25">
        <v>46265</v>
      </c>
    </row>
    <row r="26" spans="1:27">
      <c r="A26" t="s">
        <v>167</v>
      </c>
      <c r="B26">
        <v>46265</v>
      </c>
      <c r="C26" t="s">
        <v>56</v>
      </c>
      <c r="D26" t="s">
        <v>168</v>
      </c>
      <c r="E26" t="s">
        <v>169</v>
      </c>
      <c r="F26" t="s">
        <v>57</v>
      </c>
      <c r="G26" t="s">
        <v>139</v>
      </c>
      <c r="H26" t="s">
        <v>91</v>
      </c>
      <c r="I26" s="2">
        <v>7490</v>
      </c>
      <c r="J26" s="2">
        <v>7490</v>
      </c>
      <c r="K26" s="2">
        <v>0</v>
      </c>
      <c r="L26" s="3">
        <v>0</v>
      </c>
      <c r="M26" t="s">
        <v>92</v>
      </c>
      <c r="N26" t="s">
        <v>51</v>
      </c>
      <c r="O26" t="s">
        <v>93</v>
      </c>
      <c r="P26" s="2">
        <v>6900</v>
      </c>
      <c r="Q26" s="3">
        <v>108.55</v>
      </c>
      <c r="R26" t="s">
        <v>94</v>
      </c>
      <c r="S26" t="s">
        <v>95</v>
      </c>
      <c r="T26" s="3">
        <v>100</v>
      </c>
      <c r="U26" s="3">
        <v>1.1399999999999999</v>
      </c>
      <c r="V26" s="3">
        <v>60</v>
      </c>
      <c r="W26" s="3">
        <v>100</v>
      </c>
      <c r="X26" s="3">
        <v>65.28</v>
      </c>
      <c r="AA26">
        <v>46265</v>
      </c>
    </row>
    <row r="27" spans="1:27">
      <c r="A27" t="s">
        <v>170</v>
      </c>
      <c r="B27">
        <v>46265</v>
      </c>
      <c r="C27" t="s">
        <v>56</v>
      </c>
      <c r="D27" t="s">
        <v>168</v>
      </c>
      <c r="E27" t="s">
        <v>171</v>
      </c>
      <c r="F27" t="s">
        <v>57</v>
      </c>
      <c r="G27" t="s">
        <v>139</v>
      </c>
      <c r="H27" t="s">
        <v>91</v>
      </c>
      <c r="I27" s="2">
        <v>6990</v>
      </c>
      <c r="J27" s="2">
        <v>6990</v>
      </c>
      <c r="K27" s="2">
        <v>0</v>
      </c>
      <c r="L27" s="3">
        <v>0</v>
      </c>
      <c r="M27" t="s">
        <v>92</v>
      </c>
      <c r="N27" t="s">
        <v>51</v>
      </c>
      <c r="O27" t="s">
        <v>93</v>
      </c>
      <c r="P27" s="2">
        <v>6900</v>
      </c>
      <c r="Q27" s="3">
        <v>101.3</v>
      </c>
      <c r="R27" t="s">
        <v>94</v>
      </c>
      <c r="S27" t="s">
        <v>95</v>
      </c>
      <c r="T27" s="3">
        <v>100</v>
      </c>
      <c r="U27" s="3">
        <v>1.1399999999999999</v>
      </c>
      <c r="V27" s="3">
        <v>60</v>
      </c>
      <c r="W27" s="3">
        <v>100</v>
      </c>
      <c r="X27" s="3">
        <v>65.28</v>
      </c>
      <c r="AA27">
        <v>46265</v>
      </c>
    </row>
    <row r="28" spans="1:27">
      <c r="A28" t="s">
        <v>172</v>
      </c>
      <c r="B28">
        <v>46265</v>
      </c>
      <c r="C28" t="s">
        <v>56</v>
      </c>
      <c r="D28" t="s">
        <v>173</v>
      </c>
      <c r="E28" t="s">
        <v>174</v>
      </c>
      <c r="F28" t="s">
        <v>57</v>
      </c>
      <c r="G28" t="s">
        <v>139</v>
      </c>
      <c r="H28" t="s">
        <v>91</v>
      </c>
      <c r="I28" s="2">
        <v>6990</v>
      </c>
      <c r="J28" s="2">
        <v>6990</v>
      </c>
      <c r="K28" s="2">
        <v>0</v>
      </c>
      <c r="L28" s="3">
        <v>0</v>
      </c>
      <c r="M28" t="s">
        <v>92</v>
      </c>
      <c r="N28" t="s">
        <v>51</v>
      </c>
      <c r="O28" t="s">
        <v>93</v>
      </c>
      <c r="P28" s="2">
        <v>6900</v>
      </c>
      <c r="Q28" s="3">
        <v>101.3</v>
      </c>
      <c r="R28" t="s">
        <v>94</v>
      </c>
      <c r="S28" t="s">
        <v>95</v>
      </c>
      <c r="T28" s="3">
        <v>100</v>
      </c>
      <c r="U28" s="3">
        <v>1.1399999999999999</v>
      </c>
      <c r="V28" s="3">
        <v>60</v>
      </c>
      <c r="W28" s="3">
        <v>100</v>
      </c>
      <c r="X28" s="3">
        <v>65.28</v>
      </c>
      <c r="AA28">
        <v>46265</v>
      </c>
    </row>
    <row r="29" spans="1:27">
      <c r="A29" t="s">
        <v>175</v>
      </c>
      <c r="B29">
        <v>46265</v>
      </c>
      <c r="C29" t="s">
        <v>56</v>
      </c>
      <c r="D29" t="s">
        <v>176</v>
      </c>
      <c r="E29" t="s">
        <v>177</v>
      </c>
      <c r="F29" t="s">
        <v>57</v>
      </c>
      <c r="G29" t="s">
        <v>139</v>
      </c>
      <c r="H29" t="s">
        <v>91</v>
      </c>
      <c r="I29" s="2">
        <v>6990</v>
      </c>
      <c r="J29" s="2">
        <v>6990</v>
      </c>
      <c r="K29" s="2">
        <v>0</v>
      </c>
      <c r="L29" s="3">
        <v>0</v>
      </c>
      <c r="M29" t="s">
        <v>92</v>
      </c>
      <c r="N29" t="s">
        <v>51</v>
      </c>
      <c r="O29" t="s">
        <v>93</v>
      </c>
      <c r="P29" s="2">
        <v>6900</v>
      </c>
      <c r="Q29" s="3">
        <v>101.3</v>
      </c>
      <c r="R29" t="s">
        <v>94</v>
      </c>
      <c r="S29" t="s">
        <v>95</v>
      </c>
      <c r="T29" s="3">
        <v>100</v>
      </c>
      <c r="U29" s="3">
        <v>1.1399999999999999</v>
      </c>
      <c r="V29" s="3">
        <v>60</v>
      </c>
      <c r="W29" s="3">
        <v>100</v>
      </c>
      <c r="X29" s="3">
        <v>65.28</v>
      </c>
      <c r="AA29">
        <v>46265</v>
      </c>
    </row>
    <row r="30" spans="1:27">
      <c r="A30" t="s">
        <v>178</v>
      </c>
      <c r="B30">
        <v>46265</v>
      </c>
      <c r="C30" t="s">
        <v>56</v>
      </c>
      <c r="D30" t="s">
        <v>173</v>
      </c>
      <c r="E30" t="s">
        <v>179</v>
      </c>
      <c r="F30" t="s">
        <v>57</v>
      </c>
      <c r="G30" t="s">
        <v>139</v>
      </c>
      <c r="H30" t="s">
        <v>91</v>
      </c>
      <c r="I30" s="2">
        <v>5990</v>
      </c>
      <c r="J30" s="2">
        <v>5990</v>
      </c>
      <c r="K30" s="2">
        <v>0</v>
      </c>
      <c r="L30" s="3">
        <v>0</v>
      </c>
      <c r="M30" t="s">
        <v>92</v>
      </c>
      <c r="N30" t="s">
        <v>51</v>
      </c>
      <c r="O30" t="s">
        <v>93</v>
      </c>
      <c r="P30" s="2">
        <v>6900</v>
      </c>
      <c r="Q30" s="3">
        <v>86.81</v>
      </c>
      <c r="R30" t="s">
        <v>94</v>
      </c>
      <c r="S30" t="s">
        <v>95</v>
      </c>
      <c r="T30" s="3">
        <v>100</v>
      </c>
      <c r="U30" s="3">
        <v>1.1399999999999999</v>
      </c>
      <c r="V30" s="3">
        <v>60</v>
      </c>
      <c r="W30" s="3">
        <v>100</v>
      </c>
      <c r="X30" s="3">
        <v>65.28</v>
      </c>
      <c r="AA30">
        <v>46265</v>
      </c>
    </row>
    <row r="31" spans="1:27">
      <c r="A31" t="s">
        <v>180</v>
      </c>
      <c r="B31">
        <v>46265</v>
      </c>
      <c r="C31" t="s">
        <v>56</v>
      </c>
      <c r="D31" t="s">
        <v>173</v>
      </c>
      <c r="E31" t="s">
        <v>181</v>
      </c>
      <c r="F31" t="s">
        <v>57</v>
      </c>
      <c r="G31" t="s">
        <v>139</v>
      </c>
      <c r="H31" t="s">
        <v>91</v>
      </c>
      <c r="I31" s="2">
        <v>5990</v>
      </c>
      <c r="J31" s="2">
        <v>5990</v>
      </c>
      <c r="K31" s="2">
        <v>0</v>
      </c>
      <c r="L31" s="3">
        <v>0</v>
      </c>
      <c r="M31" t="s">
        <v>92</v>
      </c>
      <c r="N31" t="s">
        <v>51</v>
      </c>
      <c r="O31" t="s">
        <v>93</v>
      </c>
      <c r="P31" s="2">
        <v>6900</v>
      </c>
      <c r="Q31" s="3">
        <v>86.81</v>
      </c>
      <c r="R31" t="s">
        <v>94</v>
      </c>
      <c r="S31" t="s">
        <v>95</v>
      </c>
      <c r="T31" s="3">
        <v>100</v>
      </c>
      <c r="U31" s="3">
        <v>1.1399999999999999</v>
      </c>
      <c r="V31" s="3">
        <v>60</v>
      </c>
      <c r="W31" s="3">
        <v>100</v>
      </c>
      <c r="X31" s="3">
        <v>65.28</v>
      </c>
      <c r="AA31">
        <v>46265</v>
      </c>
    </row>
    <row r="32" spans="1:27">
      <c r="A32" t="s">
        <v>182</v>
      </c>
      <c r="B32">
        <v>46265</v>
      </c>
      <c r="C32" t="s">
        <v>56</v>
      </c>
      <c r="D32" t="s">
        <v>173</v>
      </c>
      <c r="E32" t="s">
        <v>183</v>
      </c>
      <c r="F32" t="s">
        <v>57</v>
      </c>
      <c r="G32" t="s">
        <v>139</v>
      </c>
      <c r="H32" t="s">
        <v>91</v>
      </c>
      <c r="I32" s="2">
        <v>5990</v>
      </c>
      <c r="J32" s="2">
        <v>5990</v>
      </c>
      <c r="K32" s="2">
        <v>0</v>
      </c>
      <c r="L32" s="3">
        <v>0</v>
      </c>
      <c r="M32" t="s">
        <v>92</v>
      </c>
      <c r="N32" t="s">
        <v>51</v>
      </c>
      <c r="O32" t="s">
        <v>93</v>
      </c>
      <c r="P32" s="2">
        <v>6900</v>
      </c>
      <c r="Q32" s="3">
        <v>86.81</v>
      </c>
      <c r="R32" t="s">
        <v>94</v>
      </c>
      <c r="S32" t="s">
        <v>95</v>
      </c>
      <c r="T32" s="3">
        <v>100</v>
      </c>
      <c r="U32" s="3">
        <v>1.1399999999999999</v>
      </c>
      <c r="V32" s="3">
        <v>60</v>
      </c>
      <c r="W32" s="3">
        <v>100</v>
      </c>
      <c r="X32" s="3">
        <v>65.28</v>
      </c>
      <c r="AA32">
        <v>46265</v>
      </c>
    </row>
    <row r="33" spans="1:27">
      <c r="A33" t="s">
        <v>184</v>
      </c>
      <c r="B33">
        <v>46265</v>
      </c>
      <c r="C33" t="s">
        <v>56</v>
      </c>
      <c r="D33" t="s">
        <v>185</v>
      </c>
      <c r="E33" t="s">
        <v>186</v>
      </c>
      <c r="F33" t="s">
        <v>57</v>
      </c>
      <c r="G33" t="s">
        <v>139</v>
      </c>
      <c r="H33" t="s">
        <v>91</v>
      </c>
      <c r="I33" s="2">
        <v>5990</v>
      </c>
      <c r="J33" s="2">
        <v>5990</v>
      </c>
      <c r="K33" s="2">
        <v>0</v>
      </c>
      <c r="L33" s="3">
        <v>0</v>
      </c>
      <c r="M33" t="s">
        <v>92</v>
      </c>
      <c r="N33" t="s">
        <v>51</v>
      </c>
      <c r="O33" t="s">
        <v>93</v>
      </c>
      <c r="P33" s="2">
        <v>6900</v>
      </c>
      <c r="Q33" s="3">
        <v>86.81</v>
      </c>
      <c r="R33" t="s">
        <v>94</v>
      </c>
      <c r="S33" t="s">
        <v>95</v>
      </c>
      <c r="T33" s="3">
        <v>100</v>
      </c>
      <c r="U33" s="3">
        <v>1.1399999999999999</v>
      </c>
      <c r="V33" s="3">
        <v>60</v>
      </c>
      <c r="W33" s="3">
        <v>100</v>
      </c>
      <c r="X33" s="3">
        <v>65.28</v>
      </c>
      <c r="AA33">
        <v>46265</v>
      </c>
    </row>
    <row r="34" spans="1:27">
      <c r="A34" t="s">
        <v>187</v>
      </c>
      <c r="B34">
        <v>46265</v>
      </c>
      <c r="C34" t="s">
        <v>56</v>
      </c>
      <c r="D34" t="s">
        <v>188</v>
      </c>
      <c r="E34" t="s">
        <v>189</v>
      </c>
      <c r="F34" t="s">
        <v>57</v>
      </c>
      <c r="G34" t="s">
        <v>139</v>
      </c>
      <c r="H34" t="s">
        <v>91</v>
      </c>
      <c r="I34" s="2">
        <v>5990</v>
      </c>
      <c r="J34" s="2">
        <v>5990</v>
      </c>
      <c r="K34" s="2">
        <v>0</v>
      </c>
      <c r="L34" s="3">
        <v>0</v>
      </c>
      <c r="M34" t="s">
        <v>92</v>
      </c>
      <c r="N34" t="s">
        <v>51</v>
      </c>
      <c r="O34" t="s">
        <v>93</v>
      </c>
      <c r="P34" s="2">
        <v>6900</v>
      </c>
      <c r="Q34" s="3">
        <v>86.81</v>
      </c>
      <c r="R34" t="s">
        <v>94</v>
      </c>
      <c r="S34" t="s">
        <v>95</v>
      </c>
      <c r="T34" s="3">
        <v>100</v>
      </c>
      <c r="U34" s="3">
        <v>1.1399999999999999</v>
      </c>
      <c r="V34" s="3">
        <v>60</v>
      </c>
      <c r="W34" s="3">
        <v>100</v>
      </c>
      <c r="X34" s="3">
        <v>65.28</v>
      </c>
      <c r="AA34">
        <v>46265</v>
      </c>
    </row>
    <row r="35" spans="1:27">
      <c r="A35" t="s">
        <v>190</v>
      </c>
      <c r="B35">
        <v>46265</v>
      </c>
      <c r="C35" t="s">
        <v>56</v>
      </c>
      <c r="D35" t="s">
        <v>168</v>
      </c>
      <c r="E35" t="s">
        <v>191</v>
      </c>
      <c r="F35" t="s">
        <v>57</v>
      </c>
      <c r="G35" t="s">
        <v>139</v>
      </c>
      <c r="H35" t="s">
        <v>91</v>
      </c>
      <c r="I35" s="2">
        <v>5990</v>
      </c>
      <c r="J35" s="2">
        <v>5990</v>
      </c>
      <c r="K35" s="2">
        <v>0</v>
      </c>
      <c r="L35" s="3">
        <v>0</v>
      </c>
      <c r="M35" t="s">
        <v>92</v>
      </c>
      <c r="N35" t="s">
        <v>51</v>
      </c>
      <c r="O35" t="s">
        <v>93</v>
      </c>
      <c r="P35" s="2">
        <v>6900</v>
      </c>
      <c r="Q35" s="3">
        <v>86.81</v>
      </c>
      <c r="R35" t="s">
        <v>94</v>
      </c>
      <c r="S35" t="s">
        <v>95</v>
      </c>
      <c r="T35" s="3">
        <v>100</v>
      </c>
      <c r="U35" s="3">
        <v>1.1399999999999999</v>
      </c>
      <c r="V35" s="3">
        <v>60</v>
      </c>
      <c r="W35" s="3">
        <v>100</v>
      </c>
      <c r="X35" s="3">
        <v>65.28</v>
      </c>
      <c r="AA35">
        <v>46265</v>
      </c>
    </row>
    <row r="36" spans="1:27">
      <c r="A36" t="s">
        <v>192</v>
      </c>
      <c r="B36">
        <v>46265</v>
      </c>
      <c r="C36" t="s">
        <v>56</v>
      </c>
      <c r="D36" t="s">
        <v>193</v>
      </c>
      <c r="E36" t="s">
        <v>194</v>
      </c>
      <c r="F36" t="s">
        <v>61</v>
      </c>
      <c r="G36" t="s">
        <v>139</v>
      </c>
      <c r="H36" t="s">
        <v>195</v>
      </c>
      <c r="I36" s="2">
        <v>10990</v>
      </c>
      <c r="J36" s="2">
        <v>10990</v>
      </c>
      <c r="K36" s="2">
        <v>0</v>
      </c>
      <c r="L36" s="3">
        <v>0</v>
      </c>
      <c r="M36" t="s">
        <v>92</v>
      </c>
      <c r="N36" t="s">
        <v>52</v>
      </c>
      <c r="O36" t="s">
        <v>93</v>
      </c>
      <c r="P36" s="2">
        <v>9990</v>
      </c>
      <c r="Q36" s="3">
        <v>110.01</v>
      </c>
      <c r="R36" t="s">
        <v>94</v>
      </c>
      <c r="S36" t="s">
        <v>95</v>
      </c>
      <c r="T36" s="3">
        <v>100</v>
      </c>
      <c r="U36" s="3">
        <v>1.1399999999999999</v>
      </c>
      <c r="V36" s="3">
        <v>60</v>
      </c>
      <c r="W36" s="3">
        <v>100</v>
      </c>
      <c r="X36" s="3">
        <v>65.28</v>
      </c>
      <c r="AA36">
        <v>46265</v>
      </c>
    </row>
    <row r="37" spans="1:27">
      <c r="A37" t="s">
        <v>196</v>
      </c>
      <c r="B37">
        <v>46265</v>
      </c>
      <c r="C37" t="s">
        <v>56</v>
      </c>
      <c r="D37" t="s">
        <v>197</v>
      </c>
      <c r="E37" t="s">
        <v>198</v>
      </c>
      <c r="F37" t="s">
        <v>61</v>
      </c>
      <c r="G37" t="s">
        <v>90</v>
      </c>
      <c r="H37" t="s">
        <v>195</v>
      </c>
      <c r="I37" s="2">
        <v>9990</v>
      </c>
      <c r="J37" s="2">
        <v>9990</v>
      </c>
      <c r="K37" s="2">
        <v>0</v>
      </c>
      <c r="L37" s="3">
        <v>0</v>
      </c>
      <c r="M37" t="s">
        <v>92</v>
      </c>
      <c r="N37" t="s">
        <v>52</v>
      </c>
      <c r="O37" t="s">
        <v>93</v>
      </c>
      <c r="P37" s="2">
        <v>9990</v>
      </c>
      <c r="Q37" s="3">
        <v>100</v>
      </c>
      <c r="R37" t="s">
        <v>94</v>
      </c>
      <c r="S37" t="s">
        <v>95</v>
      </c>
      <c r="T37" s="3">
        <v>100</v>
      </c>
      <c r="U37" s="3">
        <v>1.1399999999999999</v>
      </c>
      <c r="V37" s="3">
        <v>60</v>
      </c>
      <c r="W37" s="3">
        <v>100</v>
      </c>
      <c r="X37" s="3">
        <v>65.28</v>
      </c>
      <c r="AA37">
        <v>46265</v>
      </c>
    </row>
    <row r="38" spans="1:27">
      <c r="A38" t="s">
        <v>199</v>
      </c>
      <c r="B38">
        <v>46265</v>
      </c>
      <c r="C38" t="s">
        <v>56</v>
      </c>
      <c r="D38" t="s">
        <v>200</v>
      </c>
      <c r="E38" t="s">
        <v>201</v>
      </c>
      <c r="F38" t="s">
        <v>61</v>
      </c>
      <c r="G38" t="s">
        <v>90</v>
      </c>
      <c r="H38" t="s">
        <v>195</v>
      </c>
      <c r="I38" s="2">
        <v>8990</v>
      </c>
      <c r="J38" s="2">
        <v>8990</v>
      </c>
      <c r="K38" s="2">
        <v>0</v>
      </c>
      <c r="L38" s="3">
        <v>0</v>
      </c>
      <c r="M38" t="s">
        <v>92</v>
      </c>
      <c r="N38" t="s">
        <v>52</v>
      </c>
      <c r="O38" t="s">
        <v>93</v>
      </c>
      <c r="P38" s="2">
        <v>9990</v>
      </c>
      <c r="Q38" s="3">
        <v>89.99</v>
      </c>
      <c r="R38" t="s">
        <v>94</v>
      </c>
      <c r="S38" t="s">
        <v>95</v>
      </c>
      <c r="T38" s="3">
        <v>100</v>
      </c>
      <c r="U38" s="3">
        <v>1.1399999999999999</v>
      </c>
      <c r="V38" s="3">
        <v>60</v>
      </c>
      <c r="W38" s="3">
        <v>100</v>
      </c>
      <c r="X38" s="3">
        <v>65.28</v>
      </c>
      <c r="AA38">
        <v>46265</v>
      </c>
    </row>
    <row r="39" spans="1:27">
      <c r="A39" t="s">
        <v>202</v>
      </c>
      <c r="B39">
        <v>46265</v>
      </c>
      <c r="C39" t="s">
        <v>56</v>
      </c>
      <c r="D39" t="s">
        <v>203</v>
      </c>
      <c r="E39" t="s">
        <v>204</v>
      </c>
      <c r="F39" t="s">
        <v>61</v>
      </c>
      <c r="G39" t="s">
        <v>90</v>
      </c>
      <c r="H39" t="s">
        <v>195</v>
      </c>
      <c r="I39" s="2">
        <v>8990</v>
      </c>
      <c r="J39" s="2">
        <v>8990</v>
      </c>
      <c r="K39" s="2">
        <v>0</v>
      </c>
      <c r="L39" s="3">
        <v>0</v>
      </c>
      <c r="M39" t="s">
        <v>92</v>
      </c>
      <c r="N39" t="s">
        <v>52</v>
      </c>
      <c r="O39" t="s">
        <v>93</v>
      </c>
      <c r="P39" s="2">
        <v>9990</v>
      </c>
      <c r="Q39" s="3">
        <v>89.99</v>
      </c>
      <c r="R39" t="s">
        <v>94</v>
      </c>
      <c r="S39" t="s">
        <v>95</v>
      </c>
      <c r="T39" s="3">
        <v>100</v>
      </c>
      <c r="U39" s="3">
        <v>1.1399999999999999</v>
      </c>
      <c r="V39" s="3">
        <v>60</v>
      </c>
      <c r="W39" s="3">
        <v>100</v>
      </c>
      <c r="X39" s="3">
        <v>65.28</v>
      </c>
      <c r="AA39">
        <v>46265</v>
      </c>
    </row>
    <row r="40" spans="1:27">
      <c r="A40" t="s">
        <v>205</v>
      </c>
      <c r="B40">
        <v>46265</v>
      </c>
      <c r="C40" t="s">
        <v>56</v>
      </c>
      <c r="D40" t="s">
        <v>206</v>
      </c>
      <c r="E40" t="s">
        <v>207</v>
      </c>
      <c r="F40" t="s">
        <v>61</v>
      </c>
      <c r="G40" t="s">
        <v>90</v>
      </c>
      <c r="H40" t="s">
        <v>195</v>
      </c>
      <c r="I40" s="2">
        <v>8990</v>
      </c>
      <c r="J40" s="2">
        <v>8990</v>
      </c>
      <c r="K40" s="2">
        <v>0</v>
      </c>
      <c r="L40" s="3">
        <v>0</v>
      </c>
      <c r="M40" t="s">
        <v>92</v>
      </c>
      <c r="N40" t="s">
        <v>52</v>
      </c>
      <c r="O40" t="s">
        <v>93</v>
      </c>
      <c r="P40" s="2">
        <v>9990</v>
      </c>
      <c r="Q40" s="3">
        <v>89.99</v>
      </c>
      <c r="R40" t="s">
        <v>94</v>
      </c>
      <c r="S40" t="s">
        <v>95</v>
      </c>
      <c r="T40" s="3">
        <v>100</v>
      </c>
      <c r="U40" s="3">
        <v>1.1399999999999999</v>
      </c>
      <c r="V40" s="3">
        <v>60</v>
      </c>
      <c r="W40" s="3">
        <v>100</v>
      </c>
      <c r="X40" s="3">
        <v>65.28</v>
      </c>
      <c r="AA40">
        <v>46265</v>
      </c>
    </row>
    <row r="41" spans="1:27">
      <c r="A41" t="s">
        <v>208</v>
      </c>
      <c r="B41">
        <v>46265</v>
      </c>
      <c r="C41" t="s">
        <v>56</v>
      </c>
      <c r="D41" t="s">
        <v>209</v>
      </c>
      <c r="E41" t="s">
        <v>210</v>
      </c>
      <c r="F41" t="s">
        <v>61</v>
      </c>
      <c r="G41" t="s">
        <v>90</v>
      </c>
      <c r="H41" t="s">
        <v>195</v>
      </c>
      <c r="I41" s="2">
        <v>8990</v>
      </c>
      <c r="J41" s="2">
        <v>8990</v>
      </c>
      <c r="K41" s="2">
        <v>0</v>
      </c>
      <c r="L41" s="3">
        <v>0</v>
      </c>
      <c r="M41" t="s">
        <v>92</v>
      </c>
      <c r="N41" t="s">
        <v>52</v>
      </c>
      <c r="O41" t="s">
        <v>93</v>
      </c>
      <c r="P41" s="2">
        <v>9990</v>
      </c>
      <c r="Q41" s="3">
        <v>89.99</v>
      </c>
      <c r="R41" t="s">
        <v>94</v>
      </c>
      <c r="S41" t="s">
        <v>95</v>
      </c>
      <c r="T41" s="3">
        <v>100</v>
      </c>
      <c r="U41" s="3">
        <v>1.1399999999999999</v>
      </c>
      <c r="V41" s="3">
        <v>60</v>
      </c>
      <c r="W41" s="3">
        <v>100</v>
      </c>
      <c r="X41" s="3">
        <v>65.28</v>
      </c>
      <c r="AA41">
        <v>46265</v>
      </c>
    </row>
    <row r="42" spans="1:27">
      <c r="A42" t="s">
        <v>211</v>
      </c>
      <c r="B42">
        <v>46265</v>
      </c>
      <c r="C42" t="s">
        <v>56</v>
      </c>
      <c r="D42" t="s">
        <v>212</v>
      </c>
      <c r="E42" t="s">
        <v>213</v>
      </c>
      <c r="F42" t="s">
        <v>61</v>
      </c>
      <c r="G42" t="s">
        <v>90</v>
      </c>
      <c r="H42" t="s">
        <v>195</v>
      </c>
      <c r="I42" s="2">
        <v>9990</v>
      </c>
      <c r="J42" s="2">
        <v>9990</v>
      </c>
      <c r="K42" s="2">
        <v>0</v>
      </c>
      <c r="L42" s="3">
        <v>0</v>
      </c>
      <c r="M42" t="s">
        <v>92</v>
      </c>
      <c r="N42" t="s">
        <v>52</v>
      </c>
      <c r="O42" t="s">
        <v>93</v>
      </c>
      <c r="P42" s="2">
        <v>9990</v>
      </c>
      <c r="Q42" s="3">
        <v>100</v>
      </c>
      <c r="R42" t="s">
        <v>94</v>
      </c>
      <c r="S42" t="s">
        <v>95</v>
      </c>
      <c r="T42" s="3">
        <v>100</v>
      </c>
      <c r="U42" s="3">
        <v>1.1399999999999999</v>
      </c>
      <c r="V42" s="3">
        <v>60</v>
      </c>
      <c r="W42" s="3">
        <v>100</v>
      </c>
      <c r="X42" s="3">
        <v>65.28</v>
      </c>
      <c r="AA42">
        <v>46265</v>
      </c>
    </row>
    <row r="43" spans="1:27">
      <c r="A43" t="s">
        <v>214</v>
      </c>
      <c r="B43">
        <v>46265</v>
      </c>
      <c r="C43" t="s">
        <v>56</v>
      </c>
      <c r="D43" t="s">
        <v>215</v>
      </c>
      <c r="E43" t="s">
        <v>216</v>
      </c>
      <c r="F43" t="s">
        <v>61</v>
      </c>
      <c r="G43" t="s">
        <v>90</v>
      </c>
      <c r="H43" t="s">
        <v>195</v>
      </c>
      <c r="I43" s="2">
        <v>9990</v>
      </c>
      <c r="J43" s="2">
        <v>9990</v>
      </c>
      <c r="K43" s="2">
        <v>0</v>
      </c>
      <c r="L43" s="3">
        <v>0</v>
      </c>
      <c r="M43" t="s">
        <v>92</v>
      </c>
      <c r="N43" t="s">
        <v>52</v>
      </c>
      <c r="O43" t="s">
        <v>93</v>
      </c>
      <c r="P43" s="2">
        <v>9990</v>
      </c>
      <c r="Q43" s="3">
        <v>100</v>
      </c>
      <c r="R43" t="s">
        <v>94</v>
      </c>
      <c r="S43" t="s">
        <v>95</v>
      </c>
      <c r="T43" s="3">
        <v>100</v>
      </c>
      <c r="U43" s="3">
        <v>1.1399999999999999</v>
      </c>
      <c r="V43" s="3">
        <v>60</v>
      </c>
      <c r="W43" s="3">
        <v>100</v>
      </c>
      <c r="X43" s="3">
        <v>65.28</v>
      </c>
      <c r="AA43">
        <v>46265</v>
      </c>
    </row>
    <row r="44" spans="1:27">
      <c r="A44" t="s">
        <v>217</v>
      </c>
      <c r="B44">
        <v>46265</v>
      </c>
      <c r="C44" t="s">
        <v>56</v>
      </c>
      <c r="D44" t="s">
        <v>218</v>
      </c>
      <c r="E44" t="s">
        <v>219</v>
      </c>
      <c r="F44" t="s">
        <v>61</v>
      </c>
      <c r="G44" t="s">
        <v>90</v>
      </c>
      <c r="H44" t="s">
        <v>195</v>
      </c>
      <c r="I44" s="2">
        <v>9990</v>
      </c>
      <c r="J44" s="2">
        <v>9990</v>
      </c>
      <c r="K44" s="2">
        <v>0</v>
      </c>
      <c r="L44" s="3">
        <v>0</v>
      </c>
      <c r="M44" t="s">
        <v>92</v>
      </c>
      <c r="N44" t="s">
        <v>52</v>
      </c>
      <c r="O44" t="s">
        <v>93</v>
      </c>
      <c r="P44" s="2">
        <v>9990</v>
      </c>
      <c r="Q44" s="3">
        <v>100</v>
      </c>
      <c r="R44" t="s">
        <v>94</v>
      </c>
      <c r="S44" t="s">
        <v>95</v>
      </c>
      <c r="T44" s="3">
        <v>100</v>
      </c>
      <c r="U44" s="3">
        <v>1.1399999999999999</v>
      </c>
      <c r="V44" s="3">
        <v>60</v>
      </c>
      <c r="W44" s="3">
        <v>100</v>
      </c>
      <c r="X44" s="3">
        <v>65.28</v>
      </c>
      <c r="AA44">
        <v>46265</v>
      </c>
    </row>
    <row r="45" spans="1:27">
      <c r="A45" t="s">
        <v>220</v>
      </c>
      <c r="B45">
        <v>46265</v>
      </c>
      <c r="C45" t="s">
        <v>56</v>
      </c>
      <c r="D45" t="s">
        <v>221</v>
      </c>
      <c r="E45" t="s">
        <v>222</v>
      </c>
      <c r="F45" t="s">
        <v>61</v>
      </c>
      <c r="G45" t="s">
        <v>90</v>
      </c>
      <c r="H45" t="s">
        <v>195</v>
      </c>
      <c r="I45" s="2">
        <v>9990</v>
      </c>
      <c r="J45" s="2">
        <v>9990</v>
      </c>
      <c r="K45" s="2">
        <v>0</v>
      </c>
      <c r="L45" s="3">
        <v>0</v>
      </c>
      <c r="M45" t="s">
        <v>92</v>
      </c>
      <c r="N45" t="s">
        <v>52</v>
      </c>
      <c r="O45" t="s">
        <v>93</v>
      </c>
      <c r="P45" s="2">
        <v>9990</v>
      </c>
      <c r="Q45" s="3">
        <v>100</v>
      </c>
      <c r="R45" t="s">
        <v>94</v>
      </c>
      <c r="S45" t="s">
        <v>95</v>
      </c>
      <c r="T45" s="3">
        <v>100</v>
      </c>
      <c r="U45" s="3">
        <v>1.1399999999999999</v>
      </c>
      <c r="V45" s="3">
        <v>60</v>
      </c>
      <c r="W45" s="3">
        <v>100</v>
      </c>
      <c r="X45" s="3">
        <v>65.28</v>
      </c>
      <c r="AA45">
        <v>46265</v>
      </c>
    </row>
    <row r="46" spans="1:27">
      <c r="A46" t="s">
        <v>223</v>
      </c>
      <c r="B46">
        <v>46265</v>
      </c>
      <c r="C46" t="s">
        <v>56</v>
      </c>
      <c r="D46" t="s">
        <v>224</v>
      </c>
      <c r="E46" t="s">
        <v>225</v>
      </c>
      <c r="F46" t="s">
        <v>61</v>
      </c>
      <c r="G46" t="s">
        <v>90</v>
      </c>
      <c r="H46" t="s">
        <v>195</v>
      </c>
      <c r="I46" s="2">
        <v>6990</v>
      </c>
      <c r="J46" s="2">
        <v>6990</v>
      </c>
      <c r="K46" s="2">
        <v>0</v>
      </c>
      <c r="L46" s="3">
        <v>0</v>
      </c>
      <c r="M46" t="s">
        <v>92</v>
      </c>
      <c r="N46" t="s">
        <v>51</v>
      </c>
      <c r="O46" t="s">
        <v>93</v>
      </c>
      <c r="P46" s="2">
        <v>9990</v>
      </c>
      <c r="Q46" s="3">
        <v>69.97</v>
      </c>
      <c r="R46" t="s">
        <v>94</v>
      </c>
      <c r="S46" t="s">
        <v>95</v>
      </c>
      <c r="T46" s="3">
        <v>100</v>
      </c>
      <c r="U46" s="3">
        <v>1.1399999999999999</v>
      </c>
      <c r="V46" s="3">
        <v>60</v>
      </c>
      <c r="W46" s="3">
        <v>100</v>
      </c>
      <c r="X46" s="3">
        <v>65.28</v>
      </c>
      <c r="AA46">
        <v>46265</v>
      </c>
    </row>
    <row r="47" spans="1:27">
      <c r="A47" t="s">
        <v>226</v>
      </c>
      <c r="B47">
        <v>46265</v>
      </c>
      <c r="C47" t="s">
        <v>56</v>
      </c>
      <c r="D47" t="s">
        <v>227</v>
      </c>
      <c r="E47" t="s">
        <v>228</v>
      </c>
      <c r="F47" t="s">
        <v>61</v>
      </c>
      <c r="G47" t="s">
        <v>139</v>
      </c>
      <c r="H47" t="s">
        <v>195</v>
      </c>
      <c r="I47" s="2">
        <v>10990</v>
      </c>
      <c r="J47" s="2">
        <v>10990</v>
      </c>
      <c r="K47" s="2">
        <v>0</v>
      </c>
      <c r="L47" s="3">
        <v>0</v>
      </c>
      <c r="M47" t="s">
        <v>92</v>
      </c>
      <c r="N47" t="s">
        <v>52</v>
      </c>
      <c r="O47" t="s">
        <v>93</v>
      </c>
      <c r="P47" s="2">
        <v>9990</v>
      </c>
      <c r="Q47" s="3">
        <v>110.01</v>
      </c>
      <c r="R47" t="s">
        <v>94</v>
      </c>
      <c r="S47" t="s">
        <v>95</v>
      </c>
      <c r="T47" s="3">
        <v>100</v>
      </c>
      <c r="U47" s="3">
        <v>1.1399999999999999</v>
      </c>
      <c r="V47" s="3">
        <v>60</v>
      </c>
      <c r="W47" s="3">
        <v>100</v>
      </c>
      <c r="X47" s="3">
        <v>65.28</v>
      </c>
      <c r="AA47">
        <v>46265</v>
      </c>
    </row>
    <row r="48" spans="1:27">
      <c r="A48" t="s">
        <v>229</v>
      </c>
      <c r="B48">
        <v>46265</v>
      </c>
      <c r="C48" t="s">
        <v>56</v>
      </c>
      <c r="D48" t="s">
        <v>230</v>
      </c>
      <c r="E48" t="s">
        <v>231</v>
      </c>
      <c r="F48" t="s">
        <v>61</v>
      </c>
      <c r="G48" t="s">
        <v>139</v>
      </c>
      <c r="H48" t="s">
        <v>195</v>
      </c>
      <c r="I48" s="2">
        <v>10990</v>
      </c>
      <c r="J48" s="2">
        <v>10990</v>
      </c>
      <c r="K48" s="2">
        <v>0</v>
      </c>
      <c r="L48" s="3">
        <v>0</v>
      </c>
      <c r="M48" t="s">
        <v>92</v>
      </c>
      <c r="N48" t="s">
        <v>52</v>
      </c>
      <c r="O48" t="s">
        <v>93</v>
      </c>
      <c r="P48" s="2">
        <v>9990</v>
      </c>
      <c r="Q48" s="3">
        <v>110.01</v>
      </c>
      <c r="R48" t="s">
        <v>94</v>
      </c>
      <c r="S48" t="s">
        <v>95</v>
      </c>
      <c r="T48" s="3">
        <v>100</v>
      </c>
      <c r="U48" s="3">
        <v>1.1399999999999999</v>
      </c>
      <c r="V48" s="3">
        <v>60</v>
      </c>
      <c r="W48" s="3">
        <v>100</v>
      </c>
      <c r="X48" s="3">
        <v>65.28</v>
      </c>
      <c r="AA48">
        <v>46265</v>
      </c>
    </row>
    <row r="49" spans="1:27">
      <c r="A49" t="s">
        <v>232</v>
      </c>
      <c r="B49">
        <v>46265</v>
      </c>
      <c r="C49" t="s">
        <v>56</v>
      </c>
      <c r="D49" t="s">
        <v>233</v>
      </c>
      <c r="E49" t="s">
        <v>234</v>
      </c>
      <c r="F49" t="s">
        <v>61</v>
      </c>
      <c r="G49" t="s">
        <v>139</v>
      </c>
      <c r="H49" t="s">
        <v>195</v>
      </c>
      <c r="I49" s="2">
        <v>10990</v>
      </c>
      <c r="J49" s="2">
        <v>10990</v>
      </c>
      <c r="K49" s="2">
        <v>0</v>
      </c>
      <c r="L49" s="3">
        <v>0</v>
      </c>
      <c r="M49" t="s">
        <v>92</v>
      </c>
      <c r="N49" t="s">
        <v>52</v>
      </c>
      <c r="O49" t="s">
        <v>93</v>
      </c>
      <c r="P49" s="2">
        <v>9990</v>
      </c>
      <c r="Q49" s="3">
        <v>110.01</v>
      </c>
      <c r="R49" t="s">
        <v>94</v>
      </c>
      <c r="S49" t="s">
        <v>95</v>
      </c>
      <c r="T49" s="3">
        <v>100</v>
      </c>
      <c r="U49" s="3">
        <v>1.1399999999999999</v>
      </c>
      <c r="V49" s="3">
        <v>60</v>
      </c>
      <c r="W49" s="3">
        <v>100</v>
      </c>
      <c r="X49" s="3">
        <v>65.28</v>
      </c>
      <c r="AA49">
        <v>46265</v>
      </c>
    </row>
    <row r="50" spans="1:27">
      <c r="A50" t="s">
        <v>235</v>
      </c>
      <c r="B50">
        <v>46265</v>
      </c>
      <c r="C50" t="s">
        <v>56</v>
      </c>
      <c r="D50" t="s">
        <v>236</v>
      </c>
      <c r="E50" t="s">
        <v>237</v>
      </c>
      <c r="F50" t="s">
        <v>61</v>
      </c>
      <c r="G50" t="s">
        <v>139</v>
      </c>
      <c r="H50" t="s">
        <v>195</v>
      </c>
      <c r="I50" s="2">
        <v>10990</v>
      </c>
      <c r="J50" s="2">
        <v>10990</v>
      </c>
      <c r="K50" s="2">
        <v>0</v>
      </c>
      <c r="L50" s="3">
        <v>0</v>
      </c>
      <c r="M50" t="s">
        <v>92</v>
      </c>
      <c r="N50" t="s">
        <v>52</v>
      </c>
      <c r="O50" t="s">
        <v>93</v>
      </c>
      <c r="P50" s="2">
        <v>9990</v>
      </c>
      <c r="Q50" s="3">
        <v>110.01</v>
      </c>
      <c r="R50" t="s">
        <v>94</v>
      </c>
      <c r="S50" t="s">
        <v>95</v>
      </c>
      <c r="T50" s="3">
        <v>100</v>
      </c>
      <c r="U50" s="3">
        <v>1.1399999999999999</v>
      </c>
      <c r="V50" s="3">
        <v>60</v>
      </c>
      <c r="W50" s="3">
        <v>100</v>
      </c>
      <c r="X50" s="3">
        <v>65.28</v>
      </c>
      <c r="AA50">
        <v>46265</v>
      </c>
    </row>
    <row r="51" spans="1:27">
      <c r="A51" t="s">
        <v>238</v>
      </c>
      <c r="B51">
        <v>46265</v>
      </c>
      <c r="C51" t="s">
        <v>56</v>
      </c>
      <c r="D51" t="s">
        <v>239</v>
      </c>
      <c r="E51" t="s">
        <v>240</v>
      </c>
      <c r="F51" t="s">
        <v>61</v>
      </c>
      <c r="G51" t="s">
        <v>139</v>
      </c>
      <c r="H51" t="s">
        <v>195</v>
      </c>
      <c r="I51" s="2">
        <v>10990</v>
      </c>
      <c r="J51" s="2">
        <v>10990</v>
      </c>
      <c r="K51" s="2">
        <v>0</v>
      </c>
      <c r="L51" s="3">
        <v>0</v>
      </c>
      <c r="M51" t="s">
        <v>92</v>
      </c>
      <c r="N51" t="s">
        <v>52</v>
      </c>
      <c r="O51" t="s">
        <v>93</v>
      </c>
      <c r="P51" s="2">
        <v>9990</v>
      </c>
      <c r="Q51" s="3">
        <v>110.01</v>
      </c>
      <c r="R51" t="s">
        <v>94</v>
      </c>
      <c r="S51" t="s">
        <v>95</v>
      </c>
      <c r="T51" s="3">
        <v>100</v>
      </c>
      <c r="U51" s="3">
        <v>1.1399999999999999</v>
      </c>
      <c r="V51" s="3">
        <v>60</v>
      </c>
      <c r="W51" s="3">
        <v>100</v>
      </c>
      <c r="X51" s="3">
        <v>65.28</v>
      </c>
      <c r="AA51">
        <v>46265</v>
      </c>
    </row>
    <row r="52" spans="1:27">
      <c r="A52" t="s">
        <v>241</v>
      </c>
      <c r="B52">
        <v>46265</v>
      </c>
      <c r="C52" t="s">
        <v>56</v>
      </c>
      <c r="D52" t="s">
        <v>242</v>
      </c>
      <c r="E52" t="s">
        <v>243</v>
      </c>
      <c r="F52" t="s">
        <v>61</v>
      </c>
      <c r="G52" t="s">
        <v>139</v>
      </c>
      <c r="H52" t="s">
        <v>195</v>
      </c>
      <c r="I52" s="2">
        <v>10990</v>
      </c>
      <c r="J52" s="2">
        <v>10990</v>
      </c>
      <c r="K52" s="2">
        <v>0</v>
      </c>
      <c r="L52" s="3">
        <v>0</v>
      </c>
      <c r="M52" t="s">
        <v>92</v>
      </c>
      <c r="N52" t="s">
        <v>52</v>
      </c>
      <c r="O52" t="s">
        <v>93</v>
      </c>
      <c r="P52" s="2">
        <v>9990</v>
      </c>
      <c r="Q52" s="3">
        <v>110.01</v>
      </c>
      <c r="R52" t="s">
        <v>94</v>
      </c>
      <c r="S52" t="s">
        <v>95</v>
      </c>
      <c r="T52" s="3">
        <v>100</v>
      </c>
      <c r="U52" s="3">
        <v>1.1399999999999999</v>
      </c>
      <c r="V52" s="3">
        <v>60</v>
      </c>
      <c r="W52" s="3">
        <v>100</v>
      </c>
      <c r="X52" s="3">
        <v>65.28</v>
      </c>
      <c r="AA52">
        <v>46265</v>
      </c>
    </row>
    <row r="53" spans="1:27">
      <c r="A53" t="s">
        <v>244</v>
      </c>
      <c r="B53">
        <v>46265</v>
      </c>
      <c r="C53" t="s">
        <v>56</v>
      </c>
      <c r="D53" t="s">
        <v>245</v>
      </c>
      <c r="E53" t="s">
        <v>246</v>
      </c>
      <c r="F53" t="s">
        <v>61</v>
      </c>
      <c r="G53" t="s">
        <v>139</v>
      </c>
      <c r="H53" t="s">
        <v>195</v>
      </c>
      <c r="I53" s="2">
        <v>9990</v>
      </c>
      <c r="J53" s="2">
        <v>9990</v>
      </c>
      <c r="K53" s="2">
        <v>0</v>
      </c>
      <c r="L53" s="3">
        <v>0</v>
      </c>
      <c r="M53" t="s">
        <v>92</v>
      </c>
      <c r="N53" t="s">
        <v>52</v>
      </c>
      <c r="O53" t="s">
        <v>93</v>
      </c>
      <c r="P53" s="2">
        <v>9990</v>
      </c>
      <c r="Q53" s="3">
        <v>100</v>
      </c>
      <c r="R53" t="s">
        <v>94</v>
      </c>
      <c r="S53" t="s">
        <v>95</v>
      </c>
      <c r="T53" s="3">
        <v>100</v>
      </c>
      <c r="U53" s="3">
        <v>1.1399999999999999</v>
      </c>
      <c r="V53" s="3">
        <v>60</v>
      </c>
      <c r="W53" s="3">
        <v>100</v>
      </c>
      <c r="X53" s="3">
        <v>65.28</v>
      </c>
      <c r="AA53">
        <v>46265</v>
      </c>
    </row>
    <row r="54" spans="1:27">
      <c r="A54" t="s">
        <v>247</v>
      </c>
      <c r="B54">
        <v>46265</v>
      </c>
      <c r="C54" t="s">
        <v>56</v>
      </c>
      <c r="D54" t="s">
        <v>248</v>
      </c>
      <c r="E54" t="s">
        <v>249</v>
      </c>
      <c r="F54" t="s">
        <v>61</v>
      </c>
      <c r="G54" t="s">
        <v>139</v>
      </c>
      <c r="H54" t="s">
        <v>195</v>
      </c>
      <c r="I54" s="2">
        <v>10990</v>
      </c>
      <c r="J54" s="2">
        <v>10990</v>
      </c>
      <c r="K54" s="2">
        <v>0</v>
      </c>
      <c r="L54" s="3">
        <v>0</v>
      </c>
      <c r="M54" t="s">
        <v>92</v>
      </c>
      <c r="N54" t="s">
        <v>52</v>
      </c>
      <c r="O54" t="s">
        <v>93</v>
      </c>
      <c r="P54" s="2">
        <v>9990</v>
      </c>
      <c r="Q54" s="3">
        <v>110.01</v>
      </c>
      <c r="R54" t="s">
        <v>94</v>
      </c>
      <c r="S54" t="s">
        <v>95</v>
      </c>
      <c r="T54" s="3">
        <v>100</v>
      </c>
      <c r="U54" s="3">
        <v>1.1399999999999999</v>
      </c>
      <c r="V54" s="3">
        <v>60</v>
      </c>
      <c r="W54" s="3">
        <v>100</v>
      </c>
      <c r="X54" s="3">
        <v>65.28</v>
      </c>
      <c r="AA54">
        <v>46265</v>
      </c>
    </row>
    <row r="55" spans="1:27">
      <c r="A55" t="s">
        <v>250</v>
      </c>
      <c r="B55">
        <v>46265</v>
      </c>
      <c r="C55" t="s">
        <v>56</v>
      </c>
      <c r="D55" t="s">
        <v>193</v>
      </c>
      <c r="E55" t="s">
        <v>251</v>
      </c>
      <c r="F55" t="s">
        <v>61</v>
      </c>
      <c r="G55" t="s">
        <v>139</v>
      </c>
      <c r="H55" t="s">
        <v>195</v>
      </c>
      <c r="I55" s="2">
        <v>10990</v>
      </c>
      <c r="J55" s="2">
        <v>10990</v>
      </c>
      <c r="K55" s="2">
        <v>0</v>
      </c>
      <c r="L55" s="3">
        <v>0</v>
      </c>
      <c r="M55" t="s">
        <v>92</v>
      </c>
      <c r="N55" t="s">
        <v>52</v>
      </c>
      <c r="O55" t="s">
        <v>93</v>
      </c>
      <c r="P55" s="2">
        <v>9990</v>
      </c>
      <c r="Q55" s="3">
        <v>110.01</v>
      </c>
      <c r="R55" t="s">
        <v>94</v>
      </c>
      <c r="S55" t="s">
        <v>95</v>
      </c>
      <c r="T55" s="3">
        <v>100</v>
      </c>
      <c r="U55" s="3">
        <v>1.1399999999999999</v>
      </c>
      <c r="V55" s="3">
        <v>60</v>
      </c>
      <c r="W55" s="3">
        <v>100</v>
      </c>
      <c r="X55" s="3">
        <v>65.28</v>
      </c>
      <c r="AA55">
        <v>46265</v>
      </c>
    </row>
    <row r="56" spans="1:27">
      <c r="A56" t="s">
        <v>252</v>
      </c>
      <c r="B56">
        <v>46265</v>
      </c>
      <c r="C56" t="s">
        <v>56</v>
      </c>
      <c r="D56" t="s">
        <v>253</v>
      </c>
      <c r="E56" t="s">
        <v>254</v>
      </c>
      <c r="F56" t="s">
        <v>61</v>
      </c>
      <c r="G56" t="s">
        <v>139</v>
      </c>
      <c r="H56" t="s">
        <v>195</v>
      </c>
      <c r="I56" s="2">
        <v>11490</v>
      </c>
      <c r="J56" s="2">
        <v>11490</v>
      </c>
      <c r="K56" s="2">
        <v>0</v>
      </c>
      <c r="L56" s="3">
        <v>0</v>
      </c>
      <c r="M56" t="s">
        <v>92</v>
      </c>
      <c r="N56" t="s">
        <v>52</v>
      </c>
      <c r="O56" t="s">
        <v>93</v>
      </c>
      <c r="P56" s="2">
        <v>9990</v>
      </c>
      <c r="Q56" s="3">
        <v>115.02</v>
      </c>
      <c r="R56" t="s">
        <v>94</v>
      </c>
      <c r="S56" t="s">
        <v>95</v>
      </c>
      <c r="T56" s="3">
        <v>100</v>
      </c>
      <c r="U56" s="3">
        <v>1.1399999999999999</v>
      </c>
      <c r="V56" s="3">
        <v>60</v>
      </c>
      <c r="W56" s="3">
        <v>100</v>
      </c>
      <c r="X56" s="3">
        <v>65.28</v>
      </c>
      <c r="AA56">
        <v>46265</v>
      </c>
    </row>
    <row r="57" spans="1:27">
      <c r="A57" t="s">
        <v>255</v>
      </c>
      <c r="B57">
        <v>46265</v>
      </c>
      <c r="C57" t="s">
        <v>56</v>
      </c>
      <c r="D57" t="s">
        <v>256</v>
      </c>
      <c r="E57" t="s">
        <v>257</v>
      </c>
      <c r="F57" t="s">
        <v>61</v>
      </c>
      <c r="G57" t="s">
        <v>139</v>
      </c>
      <c r="H57" t="s">
        <v>195</v>
      </c>
      <c r="I57" s="2">
        <v>9990</v>
      </c>
      <c r="J57" s="2">
        <v>9990</v>
      </c>
      <c r="K57" s="2">
        <v>0</v>
      </c>
      <c r="L57" s="3">
        <v>0</v>
      </c>
      <c r="M57" t="s">
        <v>92</v>
      </c>
      <c r="N57" t="s">
        <v>52</v>
      </c>
      <c r="O57" t="s">
        <v>93</v>
      </c>
      <c r="P57" s="2">
        <v>9990</v>
      </c>
      <c r="Q57" s="3">
        <v>100</v>
      </c>
      <c r="R57" t="s">
        <v>94</v>
      </c>
      <c r="S57" t="s">
        <v>95</v>
      </c>
      <c r="T57" s="3">
        <v>100</v>
      </c>
      <c r="U57" s="3">
        <v>1.1399999999999999</v>
      </c>
      <c r="V57" s="3">
        <v>60</v>
      </c>
      <c r="W57" s="3">
        <v>100</v>
      </c>
      <c r="X57" s="3">
        <v>65.28</v>
      </c>
      <c r="AA57">
        <v>46265</v>
      </c>
    </row>
    <row r="58" spans="1:27">
      <c r="A58" t="s">
        <v>258</v>
      </c>
      <c r="B58">
        <v>46265</v>
      </c>
      <c r="C58" t="s">
        <v>56</v>
      </c>
      <c r="D58" t="s">
        <v>259</v>
      </c>
      <c r="E58" t="s">
        <v>260</v>
      </c>
      <c r="F58" t="s">
        <v>61</v>
      </c>
      <c r="G58" t="s">
        <v>139</v>
      </c>
      <c r="H58" t="s">
        <v>195</v>
      </c>
      <c r="I58" s="2">
        <v>8990</v>
      </c>
      <c r="J58" s="2">
        <v>8990</v>
      </c>
      <c r="K58" s="2">
        <v>0</v>
      </c>
      <c r="L58" s="3">
        <v>0</v>
      </c>
      <c r="M58" t="s">
        <v>92</v>
      </c>
      <c r="N58" t="s">
        <v>52</v>
      </c>
      <c r="O58" t="s">
        <v>93</v>
      </c>
      <c r="P58" s="2">
        <v>9990</v>
      </c>
      <c r="Q58" s="3">
        <v>89.99</v>
      </c>
      <c r="R58" t="s">
        <v>94</v>
      </c>
      <c r="S58" t="s">
        <v>95</v>
      </c>
      <c r="T58" s="3">
        <v>100</v>
      </c>
      <c r="U58" s="3">
        <v>1.1399999999999999</v>
      </c>
      <c r="V58" s="3">
        <v>60</v>
      </c>
      <c r="W58" s="3">
        <v>100</v>
      </c>
      <c r="X58" s="3">
        <v>65.28</v>
      </c>
      <c r="AA58">
        <v>46265</v>
      </c>
    </row>
    <row r="59" spans="1:27">
      <c r="A59" t="s">
        <v>261</v>
      </c>
      <c r="B59">
        <v>46265</v>
      </c>
      <c r="C59" t="s">
        <v>56</v>
      </c>
      <c r="D59" t="s">
        <v>262</v>
      </c>
      <c r="E59" t="s">
        <v>263</v>
      </c>
      <c r="F59" t="s">
        <v>61</v>
      </c>
      <c r="G59" t="s">
        <v>139</v>
      </c>
      <c r="H59" t="s">
        <v>195</v>
      </c>
      <c r="I59" s="2">
        <v>9990</v>
      </c>
      <c r="J59" s="2">
        <v>9990</v>
      </c>
      <c r="K59" s="2">
        <v>0</v>
      </c>
      <c r="L59" s="3">
        <v>0</v>
      </c>
      <c r="M59" t="s">
        <v>92</v>
      </c>
      <c r="N59" t="s">
        <v>52</v>
      </c>
      <c r="O59" t="s">
        <v>93</v>
      </c>
      <c r="P59" s="2">
        <v>9990</v>
      </c>
      <c r="Q59" s="3">
        <v>100</v>
      </c>
      <c r="R59" t="s">
        <v>94</v>
      </c>
      <c r="S59" t="s">
        <v>95</v>
      </c>
      <c r="T59" s="3">
        <v>100</v>
      </c>
      <c r="U59" s="3">
        <v>1.1399999999999999</v>
      </c>
      <c r="V59" s="3">
        <v>60</v>
      </c>
      <c r="W59" s="3">
        <v>100</v>
      </c>
      <c r="X59" s="3">
        <v>65.28</v>
      </c>
      <c r="AA59">
        <v>46265</v>
      </c>
    </row>
    <row r="60" spans="1:27">
      <c r="A60" t="s">
        <v>264</v>
      </c>
      <c r="B60">
        <v>46265</v>
      </c>
      <c r="C60" t="s">
        <v>56</v>
      </c>
      <c r="D60" t="s">
        <v>265</v>
      </c>
      <c r="E60" t="s">
        <v>266</v>
      </c>
      <c r="F60" t="s">
        <v>61</v>
      </c>
      <c r="G60" t="s">
        <v>139</v>
      </c>
      <c r="H60" t="s">
        <v>195</v>
      </c>
      <c r="I60" s="2">
        <v>11490</v>
      </c>
      <c r="J60" s="2">
        <v>11490</v>
      </c>
      <c r="K60" s="2">
        <v>0</v>
      </c>
      <c r="L60" s="3">
        <v>0</v>
      </c>
      <c r="M60" t="s">
        <v>92</v>
      </c>
      <c r="N60" t="s">
        <v>52</v>
      </c>
      <c r="O60" t="s">
        <v>93</v>
      </c>
      <c r="P60" s="2">
        <v>9990</v>
      </c>
      <c r="Q60" s="3">
        <v>115.02</v>
      </c>
      <c r="R60" t="s">
        <v>94</v>
      </c>
      <c r="S60" t="s">
        <v>95</v>
      </c>
      <c r="T60" s="3">
        <v>100</v>
      </c>
      <c r="U60" s="3">
        <v>1.1399999999999999</v>
      </c>
      <c r="V60" s="3">
        <v>60</v>
      </c>
      <c r="W60" s="3">
        <v>100</v>
      </c>
      <c r="X60" s="3">
        <v>65.28</v>
      </c>
      <c r="AA60">
        <v>46265</v>
      </c>
    </row>
    <row r="61" spans="1:27">
      <c r="A61" t="s">
        <v>267</v>
      </c>
      <c r="B61">
        <v>46265</v>
      </c>
      <c r="C61" t="s">
        <v>56</v>
      </c>
      <c r="D61" t="s">
        <v>268</v>
      </c>
      <c r="E61" t="s">
        <v>269</v>
      </c>
      <c r="F61" t="s">
        <v>61</v>
      </c>
      <c r="G61" t="s">
        <v>90</v>
      </c>
      <c r="H61" t="s">
        <v>195</v>
      </c>
      <c r="I61" s="2">
        <v>9990</v>
      </c>
      <c r="J61" s="2">
        <v>9990</v>
      </c>
      <c r="K61" s="2">
        <v>0</v>
      </c>
      <c r="L61" s="3">
        <v>0</v>
      </c>
      <c r="M61" t="s">
        <v>92</v>
      </c>
      <c r="N61" t="s">
        <v>52</v>
      </c>
      <c r="O61" t="s">
        <v>93</v>
      </c>
      <c r="P61" s="2">
        <v>9990</v>
      </c>
      <c r="Q61" s="3">
        <v>100</v>
      </c>
      <c r="R61" t="s">
        <v>94</v>
      </c>
      <c r="S61" t="s">
        <v>95</v>
      </c>
      <c r="T61" s="3">
        <v>100</v>
      </c>
      <c r="U61" s="3">
        <v>1.1399999999999999</v>
      </c>
      <c r="V61" s="3">
        <v>60</v>
      </c>
      <c r="W61" s="3">
        <v>100</v>
      </c>
      <c r="X61" s="3">
        <v>65.28</v>
      </c>
      <c r="AA61">
        <v>46265</v>
      </c>
    </row>
    <row r="62" spans="1:27">
      <c r="A62" t="s">
        <v>270</v>
      </c>
      <c r="B62">
        <v>46265</v>
      </c>
      <c r="C62" t="s">
        <v>56</v>
      </c>
      <c r="D62" t="s">
        <v>271</v>
      </c>
      <c r="E62" t="s">
        <v>272</v>
      </c>
      <c r="F62" t="s">
        <v>61</v>
      </c>
      <c r="G62" t="s">
        <v>139</v>
      </c>
      <c r="H62" t="s">
        <v>195</v>
      </c>
      <c r="I62" s="2">
        <v>11490</v>
      </c>
      <c r="J62" s="2">
        <v>11490</v>
      </c>
      <c r="K62" s="2">
        <v>0</v>
      </c>
      <c r="L62" s="3">
        <v>0</v>
      </c>
      <c r="M62" t="s">
        <v>92</v>
      </c>
      <c r="N62" t="s">
        <v>52</v>
      </c>
      <c r="O62" t="s">
        <v>93</v>
      </c>
      <c r="P62" s="2">
        <v>9990</v>
      </c>
      <c r="Q62" s="3">
        <v>115.02</v>
      </c>
      <c r="R62" t="s">
        <v>94</v>
      </c>
      <c r="S62" t="s">
        <v>95</v>
      </c>
      <c r="T62" s="3">
        <v>100</v>
      </c>
      <c r="U62" s="3">
        <v>1.1399999999999999</v>
      </c>
      <c r="V62" s="3">
        <v>60</v>
      </c>
      <c r="W62" s="3">
        <v>100</v>
      </c>
      <c r="X62" s="3">
        <v>65.28</v>
      </c>
      <c r="AA62">
        <v>46265</v>
      </c>
    </row>
    <row r="63" spans="1:27">
      <c r="A63" t="s">
        <v>273</v>
      </c>
      <c r="B63">
        <v>46265</v>
      </c>
      <c r="C63" t="s">
        <v>56</v>
      </c>
      <c r="D63" t="s">
        <v>274</v>
      </c>
      <c r="E63" t="s">
        <v>275</v>
      </c>
      <c r="F63" t="s">
        <v>61</v>
      </c>
      <c r="G63" t="s">
        <v>90</v>
      </c>
      <c r="H63" t="s">
        <v>195</v>
      </c>
      <c r="I63" s="2">
        <v>9990</v>
      </c>
      <c r="J63" s="2">
        <v>9990</v>
      </c>
      <c r="K63" s="2">
        <v>0</v>
      </c>
      <c r="L63" s="3">
        <v>0</v>
      </c>
      <c r="M63" t="s">
        <v>92</v>
      </c>
      <c r="N63" t="s">
        <v>52</v>
      </c>
      <c r="O63" t="s">
        <v>93</v>
      </c>
      <c r="P63" s="2">
        <v>9990</v>
      </c>
      <c r="Q63" s="3">
        <v>100</v>
      </c>
      <c r="R63" t="s">
        <v>94</v>
      </c>
      <c r="S63" t="s">
        <v>95</v>
      </c>
      <c r="T63" s="3">
        <v>100</v>
      </c>
      <c r="U63" s="3">
        <v>1.1399999999999999</v>
      </c>
      <c r="V63" s="3">
        <v>60</v>
      </c>
      <c r="W63" s="3">
        <v>100</v>
      </c>
      <c r="X63" s="3">
        <v>65.28</v>
      </c>
      <c r="AA63">
        <v>46265</v>
      </c>
    </row>
    <row r="64" spans="1:27">
      <c r="A64" t="s">
        <v>276</v>
      </c>
      <c r="B64">
        <v>46265</v>
      </c>
      <c r="C64" t="s">
        <v>56</v>
      </c>
      <c r="D64" t="s">
        <v>268</v>
      </c>
      <c r="E64" t="s">
        <v>277</v>
      </c>
      <c r="F64" t="s">
        <v>61</v>
      </c>
      <c r="G64" t="s">
        <v>90</v>
      </c>
      <c r="H64" t="s">
        <v>195</v>
      </c>
      <c r="I64" s="2">
        <v>9990</v>
      </c>
      <c r="J64" s="2">
        <v>9990</v>
      </c>
      <c r="K64" s="2">
        <v>0</v>
      </c>
      <c r="L64" s="3">
        <v>0</v>
      </c>
      <c r="M64" t="s">
        <v>92</v>
      </c>
      <c r="N64" t="s">
        <v>52</v>
      </c>
      <c r="O64" t="s">
        <v>93</v>
      </c>
      <c r="P64" s="2">
        <v>9990</v>
      </c>
      <c r="Q64" s="3">
        <v>100</v>
      </c>
      <c r="R64" t="s">
        <v>94</v>
      </c>
      <c r="S64" t="s">
        <v>95</v>
      </c>
      <c r="T64" s="3">
        <v>100</v>
      </c>
      <c r="U64" s="3">
        <v>1.1399999999999999</v>
      </c>
      <c r="V64" s="3">
        <v>60</v>
      </c>
      <c r="W64" s="3">
        <v>100</v>
      </c>
      <c r="X64" s="3">
        <v>65.28</v>
      </c>
      <c r="AA64">
        <v>46265</v>
      </c>
    </row>
    <row r="65" spans="1:27">
      <c r="A65" t="s">
        <v>278</v>
      </c>
      <c r="B65">
        <v>46265</v>
      </c>
      <c r="C65" t="s">
        <v>56</v>
      </c>
      <c r="D65" t="s">
        <v>279</v>
      </c>
      <c r="E65" t="s">
        <v>280</v>
      </c>
      <c r="F65" t="s">
        <v>61</v>
      </c>
      <c r="G65" t="s">
        <v>126</v>
      </c>
      <c r="H65" t="s">
        <v>195</v>
      </c>
      <c r="I65" s="2">
        <v>6490</v>
      </c>
      <c r="J65" s="2">
        <v>6490</v>
      </c>
      <c r="K65" s="2">
        <v>0</v>
      </c>
      <c r="L65" s="3">
        <v>0</v>
      </c>
      <c r="M65" t="s">
        <v>92</v>
      </c>
      <c r="N65" t="s">
        <v>51</v>
      </c>
      <c r="O65" t="s">
        <v>93</v>
      </c>
      <c r="P65" s="2">
        <v>9990</v>
      </c>
      <c r="Q65" s="3">
        <v>64.959999999999994</v>
      </c>
      <c r="R65" t="s">
        <v>94</v>
      </c>
      <c r="S65" t="s">
        <v>95</v>
      </c>
      <c r="T65" s="3">
        <v>100</v>
      </c>
      <c r="U65" s="3">
        <v>1.1399999999999999</v>
      </c>
      <c r="V65" s="3">
        <v>60</v>
      </c>
      <c r="W65" s="3">
        <v>100</v>
      </c>
      <c r="X65" s="3">
        <v>65.28</v>
      </c>
      <c r="AA65">
        <v>46265</v>
      </c>
    </row>
    <row r="66" spans="1:27">
      <c r="A66" t="s">
        <v>281</v>
      </c>
      <c r="B66">
        <v>46265</v>
      </c>
      <c r="C66" t="s">
        <v>56</v>
      </c>
      <c r="D66" t="s">
        <v>282</v>
      </c>
      <c r="E66" t="s">
        <v>283</v>
      </c>
      <c r="F66" t="s">
        <v>61</v>
      </c>
      <c r="G66" t="s">
        <v>90</v>
      </c>
      <c r="H66" t="s">
        <v>195</v>
      </c>
      <c r="I66" s="2">
        <v>6990</v>
      </c>
      <c r="J66" s="2">
        <v>6990</v>
      </c>
      <c r="K66" s="2">
        <v>0</v>
      </c>
      <c r="L66" s="3">
        <v>0</v>
      </c>
      <c r="M66" t="s">
        <v>92</v>
      </c>
      <c r="N66" t="s">
        <v>51</v>
      </c>
      <c r="O66" t="s">
        <v>93</v>
      </c>
      <c r="P66" s="2">
        <v>9990</v>
      </c>
      <c r="Q66" s="3">
        <v>69.97</v>
      </c>
      <c r="R66" t="s">
        <v>94</v>
      </c>
      <c r="S66" t="s">
        <v>95</v>
      </c>
      <c r="T66" s="3">
        <v>100</v>
      </c>
      <c r="U66" s="3">
        <v>1.1399999999999999</v>
      </c>
      <c r="V66" s="3">
        <v>60</v>
      </c>
      <c r="W66" s="3">
        <v>100</v>
      </c>
      <c r="X66" s="3">
        <v>65.28</v>
      </c>
      <c r="AA66">
        <v>46265</v>
      </c>
    </row>
    <row r="67" spans="1:27">
      <c r="A67" t="s">
        <v>284</v>
      </c>
      <c r="B67">
        <v>46265</v>
      </c>
      <c r="C67" t="s">
        <v>56</v>
      </c>
      <c r="D67" t="s">
        <v>285</v>
      </c>
      <c r="E67" t="s">
        <v>286</v>
      </c>
      <c r="F67" t="s">
        <v>61</v>
      </c>
      <c r="G67" t="s">
        <v>90</v>
      </c>
      <c r="H67" t="s">
        <v>195</v>
      </c>
      <c r="I67" s="2">
        <v>6990</v>
      </c>
      <c r="J67" s="2">
        <v>6990</v>
      </c>
      <c r="K67" s="2">
        <v>0</v>
      </c>
      <c r="L67" s="3">
        <v>0</v>
      </c>
      <c r="M67" t="s">
        <v>92</v>
      </c>
      <c r="N67" t="s">
        <v>51</v>
      </c>
      <c r="O67" t="s">
        <v>93</v>
      </c>
      <c r="P67" s="2">
        <v>9990</v>
      </c>
      <c r="Q67" s="3">
        <v>69.97</v>
      </c>
      <c r="R67" t="s">
        <v>94</v>
      </c>
      <c r="S67" t="s">
        <v>95</v>
      </c>
      <c r="T67" s="3">
        <v>100</v>
      </c>
      <c r="U67" s="3">
        <v>1.1399999999999999</v>
      </c>
      <c r="V67" s="3">
        <v>60</v>
      </c>
      <c r="W67" s="3">
        <v>100</v>
      </c>
      <c r="X67" s="3">
        <v>65.28</v>
      </c>
      <c r="AA67">
        <v>46265</v>
      </c>
    </row>
    <row r="68" spans="1:27">
      <c r="A68" t="s">
        <v>287</v>
      </c>
      <c r="B68">
        <v>46265</v>
      </c>
      <c r="C68" t="s">
        <v>56</v>
      </c>
      <c r="D68" t="s">
        <v>288</v>
      </c>
      <c r="E68" t="s">
        <v>289</v>
      </c>
      <c r="F68" t="s">
        <v>61</v>
      </c>
      <c r="G68" t="s">
        <v>139</v>
      </c>
      <c r="H68" t="s">
        <v>195</v>
      </c>
      <c r="I68" s="2">
        <v>29990</v>
      </c>
      <c r="J68" s="2">
        <v>29990</v>
      </c>
      <c r="K68" s="2">
        <v>0</v>
      </c>
      <c r="L68" s="3">
        <v>0</v>
      </c>
      <c r="M68" t="s">
        <v>92</v>
      </c>
      <c r="N68" t="s">
        <v>53</v>
      </c>
      <c r="O68" t="s">
        <v>93</v>
      </c>
      <c r="P68" s="2">
        <v>9990</v>
      </c>
      <c r="Q68" s="3">
        <v>300.2</v>
      </c>
      <c r="R68" t="s">
        <v>94</v>
      </c>
      <c r="S68" t="s">
        <v>95</v>
      </c>
      <c r="T68" s="3">
        <v>100</v>
      </c>
      <c r="U68" s="3">
        <v>1.1399999999999999</v>
      </c>
      <c r="V68" s="3">
        <v>60</v>
      </c>
      <c r="W68" s="3">
        <v>100</v>
      </c>
      <c r="X68" s="3">
        <v>65.28</v>
      </c>
      <c r="AA68">
        <v>46265</v>
      </c>
    </row>
    <row r="69" spans="1:27">
      <c r="A69" t="s">
        <v>290</v>
      </c>
      <c r="B69">
        <v>46265</v>
      </c>
      <c r="C69" t="s">
        <v>56</v>
      </c>
      <c r="D69" t="s">
        <v>291</v>
      </c>
      <c r="E69" t="s">
        <v>292</v>
      </c>
      <c r="F69" t="s">
        <v>61</v>
      </c>
      <c r="G69" t="s">
        <v>139</v>
      </c>
      <c r="H69" t="s">
        <v>195</v>
      </c>
      <c r="I69" s="2">
        <v>18990</v>
      </c>
      <c r="J69" s="2">
        <v>18990</v>
      </c>
      <c r="K69" s="2">
        <v>0</v>
      </c>
      <c r="L69" s="3">
        <v>0</v>
      </c>
      <c r="M69" t="s">
        <v>92</v>
      </c>
      <c r="N69" t="s">
        <v>53</v>
      </c>
      <c r="O69" t="s">
        <v>93</v>
      </c>
      <c r="P69" s="2">
        <v>9990</v>
      </c>
      <c r="Q69" s="3">
        <v>190.09</v>
      </c>
      <c r="R69" t="s">
        <v>94</v>
      </c>
      <c r="S69" t="s">
        <v>95</v>
      </c>
      <c r="T69" s="3">
        <v>100</v>
      </c>
      <c r="U69" s="3">
        <v>1.1399999999999999</v>
      </c>
      <c r="V69" s="3">
        <v>60</v>
      </c>
      <c r="W69" s="3">
        <v>100</v>
      </c>
      <c r="X69" s="3">
        <v>65.28</v>
      </c>
      <c r="AA69">
        <v>46265</v>
      </c>
    </row>
    <row r="70" spans="1:27">
      <c r="A70" t="s">
        <v>293</v>
      </c>
      <c r="B70">
        <v>46265</v>
      </c>
      <c r="C70" t="s">
        <v>56</v>
      </c>
      <c r="D70" t="s">
        <v>294</v>
      </c>
      <c r="E70" t="s">
        <v>295</v>
      </c>
      <c r="F70" t="s">
        <v>59</v>
      </c>
      <c r="G70" t="s">
        <v>139</v>
      </c>
      <c r="H70" t="s">
        <v>296</v>
      </c>
      <c r="I70" s="2">
        <v>27990</v>
      </c>
      <c r="J70" s="2">
        <v>27990</v>
      </c>
      <c r="K70" s="2">
        <v>0</v>
      </c>
      <c r="L70" s="3">
        <v>0</v>
      </c>
      <c r="M70" t="s">
        <v>92</v>
      </c>
      <c r="N70" t="s">
        <v>53</v>
      </c>
      <c r="O70" t="s">
        <v>93</v>
      </c>
      <c r="P70" s="2">
        <v>27990</v>
      </c>
      <c r="Q70" s="3">
        <v>100</v>
      </c>
      <c r="R70" t="s">
        <v>94</v>
      </c>
      <c r="S70" t="s">
        <v>95</v>
      </c>
      <c r="T70" s="3">
        <v>100</v>
      </c>
      <c r="U70" s="3">
        <v>1.1399999999999999</v>
      </c>
      <c r="V70" s="3">
        <v>60</v>
      </c>
      <c r="W70" s="3">
        <v>100</v>
      </c>
      <c r="X70" s="3">
        <v>65.28</v>
      </c>
      <c r="AA70">
        <v>46265</v>
      </c>
    </row>
    <row r="71" spans="1:27">
      <c r="A71" t="s">
        <v>297</v>
      </c>
      <c r="B71">
        <v>46265</v>
      </c>
      <c r="C71" t="s">
        <v>56</v>
      </c>
      <c r="D71" t="s">
        <v>298</v>
      </c>
      <c r="E71" t="s">
        <v>299</v>
      </c>
      <c r="F71" t="s">
        <v>59</v>
      </c>
      <c r="G71" t="s">
        <v>90</v>
      </c>
      <c r="H71" t="s">
        <v>296</v>
      </c>
      <c r="I71" s="2">
        <v>12990</v>
      </c>
      <c r="J71" s="2">
        <v>12990</v>
      </c>
      <c r="K71" s="2">
        <v>0</v>
      </c>
      <c r="L71" s="3">
        <v>0</v>
      </c>
      <c r="M71" t="s">
        <v>92</v>
      </c>
      <c r="N71" t="s">
        <v>52</v>
      </c>
      <c r="O71" t="s">
        <v>93</v>
      </c>
      <c r="P71" s="2">
        <v>27990</v>
      </c>
      <c r="Q71" s="3">
        <v>46.41</v>
      </c>
      <c r="R71" t="s">
        <v>94</v>
      </c>
      <c r="S71" t="s">
        <v>95</v>
      </c>
      <c r="T71" s="3">
        <v>100</v>
      </c>
      <c r="U71" s="3">
        <v>1.1399999999999999</v>
      </c>
      <c r="V71" s="3">
        <v>60</v>
      </c>
      <c r="W71" s="3">
        <v>100</v>
      </c>
      <c r="X71" s="3">
        <v>65.28</v>
      </c>
      <c r="AA71">
        <v>46265</v>
      </c>
    </row>
    <row r="72" spans="1:27">
      <c r="A72" t="s">
        <v>300</v>
      </c>
      <c r="B72">
        <v>46265</v>
      </c>
      <c r="C72" t="s">
        <v>56</v>
      </c>
      <c r="D72" t="s">
        <v>301</v>
      </c>
      <c r="E72" t="s">
        <v>302</v>
      </c>
      <c r="F72" t="s">
        <v>59</v>
      </c>
      <c r="G72" t="s">
        <v>90</v>
      </c>
      <c r="H72" t="s">
        <v>296</v>
      </c>
      <c r="I72" s="2">
        <v>12990</v>
      </c>
      <c r="J72" s="2">
        <v>12990</v>
      </c>
      <c r="K72" s="2">
        <v>0</v>
      </c>
      <c r="L72" s="3">
        <v>0</v>
      </c>
      <c r="M72" t="s">
        <v>92</v>
      </c>
      <c r="N72" t="s">
        <v>52</v>
      </c>
      <c r="O72" t="s">
        <v>93</v>
      </c>
      <c r="P72" s="2">
        <v>27990</v>
      </c>
      <c r="Q72" s="3">
        <v>46.41</v>
      </c>
      <c r="R72" t="s">
        <v>94</v>
      </c>
      <c r="S72" t="s">
        <v>95</v>
      </c>
      <c r="T72" s="3">
        <v>100</v>
      </c>
      <c r="U72" s="3">
        <v>1.1399999999999999</v>
      </c>
      <c r="V72" s="3">
        <v>60</v>
      </c>
      <c r="W72" s="3">
        <v>100</v>
      </c>
      <c r="X72" s="3">
        <v>65.28</v>
      </c>
      <c r="AA72">
        <v>46265</v>
      </c>
    </row>
    <row r="73" spans="1:27">
      <c r="A73" t="s">
        <v>303</v>
      </c>
      <c r="B73">
        <v>46265</v>
      </c>
      <c r="C73" t="s">
        <v>56</v>
      </c>
      <c r="D73" t="s">
        <v>304</v>
      </c>
      <c r="E73" t="s">
        <v>305</v>
      </c>
      <c r="F73" t="s">
        <v>59</v>
      </c>
      <c r="G73" t="s">
        <v>139</v>
      </c>
      <c r="H73" t="s">
        <v>296</v>
      </c>
      <c r="I73" s="2">
        <v>19990</v>
      </c>
      <c r="J73" s="2">
        <v>19990</v>
      </c>
      <c r="K73" s="2">
        <v>0</v>
      </c>
      <c r="L73" s="3">
        <v>0</v>
      </c>
      <c r="M73" t="s">
        <v>92</v>
      </c>
      <c r="N73" t="s">
        <v>53</v>
      </c>
      <c r="O73" t="s">
        <v>93</v>
      </c>
      <c r="P73" s="2">
        <v>27990</v>
      </c>
      <c r="Q73" s="3">
        <v>71.42</v>
      </c>
      <c r="R73" t="s">
        <v>94</v>
      </c>
      <c r="S73" t="s">
        <v>95</v>
      </c>
      <c r="T73" s="3">
        <v>100</v>
      </c>
      <c r="U73" s="3">
        <v>1.1399999999999999</v>
      </c>
      <c r="V73" s="3">
        <v>60</v>
      </c>
      <c r="W73" s="3">
        <v>100</v>
      </c>
      <c r="X73" s="3">
        <v>65.28</v>
      </c>
      <c r="AA73">
        <v>46265</v>
      </c>
    </row>
    <row r="74" spans="1:27">
      <c r="A74" t="s">
        <v>306</v>
      </c>
      <c r="B74">
        <v>46265</v>
      </c>
      <c r="C74" t="s">
        <v>56</v>
      </c>
      <c r="D74" t="s">
        <v>307</v>
      </c>
      <c r="E74" t="s">
        <v>308</v>
      </c>
      <c r="F74" t="s">
        <v>59</v>
      </c>
      <c r="G74" t="s">
        <v>90</v>
      </c>
      <c r="H74" t="s">
        <v>296</v>
      </c>
      <c r="I74" s="2">
        <v>12990</v>
      </c>
      <c r="J74" s="2">
        <v>12990</v>
      </c>
      <c r="K74" s="2">
        <v>0</v>
      </c>
      <c r="L74" s="3">
        <v>0</v>
      </c>
      <c r="M74" t="s">
        <v>92</v>
      </c>
      <c r="N74" t="s">
        <v>52</v>
      </c>
      <c r="O74" t="s">
        <v>93</v>
      </c>
      <c r="P74" s="2">
        <v>27990</v>
      </c>
      <c r="Q74" s="3">
        <v>46.41</v>
      </c>
      <c r="R74" t="s">
        <v>94</v>
      </c>
      <c r="S74" t="s">
        <v>95</v>
      </c>
      <c r="T74" s="3">
        <v>100</v>
      </c>
      <c r="U74" s="3">
        <v>1.1399999999999999</v>
      </c>
      <c r="V74" s="3">
        <v>60</v>
      </c>
      <c r="W74" s="3">
        <v>100</v>
      </c>
      <c r="X74" s="3">
        <v>65.28</v>
      </c>
      <c r="AA74">
        <v>46265</v>
      </c>
    </row>
    <row r="75" spans="1:27">
      <c r="A75" t="s">
        <v>309</v>
      </c>
      <c r="B75">
        <v>46265</v>
      </c>
      <c r="C75" t="s">
        <v>56</v>
      </c>
      <c r="D75" t="s">
        <v>310</v>
      </c>
      <c r="E75" t="s">
        <v>311</v>
      </c>
      <c r="F75" t="s">
        <v>59</v>
      </c>
      <c r="G75" t="s">
        <v>139</v>
      </c>
      <c r="H75" t="s">
        <v>296</v>
      </c>
      <c r="I75" s="2">
        <v>16990</v>
      </c>
      <c r="J75" s="2">
        <v>16990</v>
      </c>
      <c r="K75" s="2">
        <v>0</v>
      </c>
      <c r="L75" s="3">
        <v>0</v>
      </c>
      <c r="M75" t="s">
        <v>92</v>
      </c>
      <c r="N75" t="s">
        <v>53</v>
      </c>
      <c r="O75" t="s">
        <v>93</v>
      </c>
      <c r="P75" s="2">
        <v>27990</v>
      </c>
      <c r="Q75" s="3">
        <v>60.7</v>
      </c>
      <c r="R75" t="s">
        <v>94</v>
      </c>
      <c r="S75" t="s">
        <v>95</v>
      </c>
      <c r="T75" s="3">
        <v>100</v>
      </c>
      <c r="U75" s="3">
        <v>1.1399999999999999</v>
      </c>
      <c r="V75" s="3">
        <v>60</v>
      </c>
      <c r="W75" s="3">
        <v>100</v>
      </c>
      <c r="X75" s="3">
        <v>65.28</v>
      </c>
      <c r="AA75">
        <v>46265</v>
      </c>
    </row>
    <row r="76" spans="1:27">
      <c r="A76" t="s">
        <v>312</v>
      </c>
      <c r="B76">
        <v>46265</v>
      </c>
      <c r="C76" t="s">
        <v>56</v>
      </c>
      <c r="D76" t="s">
        <v>313</v>
      </c>
      <c r="E76" t="s">
        <v>314</v>
      </c>
      <c r="F76" t="s">
        <v>59</v>
      </c>
      <c r="G76" t="s">
        <v>90</v>
      </c>
      <c r="H76" t="s">
        <v>296</v>
      </c>
      <c r="I76" s="2">
        <v>12990</v>
      </c>
      <c r="J76" s="2">
        <v>12990</v>
      </c>
      <c r="K76" s="2">
        <v>0</v>
      </c>
      <c r="L76" s="3">
        <v>0</v>
      </c>
      <c r="M76" t="s">
        <v>92</v>
      </c>
      <c r="N76" t="s">
        <v>52</v>
      </c>
      <c r="O76" t="s">
        <v>93</v>
      </c>
      <c r="P76" s="2">
        <v>27990</v>
      </c>
      <c r="Q76" s="3">
        <v>46.41</v>
      </c>
      <c r="R76" t="s">
        <v>94</v>
      </c>
      <c r="S76" t="s">
        <v>95</v>
      </c>
      <c r="T76" s="3">
        <v>100</v>
      </c>
      <c r="U76" s="3">
        <v>1.1399999999999999</v>
      </c>
      <c r="V76" s="3">
        <v>60</v>
      </c>
      <c r="W76" s="3">
        <v>100</v>
      </c>
      <c r="X76" s="3">
        <v>65.28</v>
      </c>
      <c r="AA76">
        <v>46265</v>
      </c>
    </row>
    <row r="77" spans="1:27">
      <c r="A77" t="s">
        <v>315</v>
      </c>
      <c r="B77">
        <v>46265</v>
      </c>
      <c r="C77" t="s">
        <v>56</v>
      </c>
      <c r="D77" t="s">
        <v>316</v>
      </c>
      <c r="E77" t="s">
        <v>317</v>
      </c>
      <c r="F77" t="s">
        <v>59</v>
      </c>
      <c r="G77" t="s">
        <v>90</v>
      </c>
      <c r="H77" t="s">
        <v>296</v>
      </c>
      <c r="I77" s="2">
        <v>12990</v>
      </c>
      <c r="J77" s="2">
        <v>12990</v>
      </c>
      <c r="K77" s="2">
        <v>0</v>
      </c>
      <c r="L77" s="3">
        <v>0</v>
      </c>
      <c r="M77" t="s">
        <v>92</v>
      </c>
      <c r="N77" t="s">
        <v>52</v>
      </c>
      <c r="O77" t="s">
        <v>93</v>
      </c>
      <c r="P77" s="2">
        <v>27990</v>
      </c>
      <c r="Q77" s="3">
        <v>46.41</v>
      </c>
      <c r="R77" t="s">
        <v>94</v>
      </c>
      <c r="S77" t="s">
        <v>95</v>
      </c>
      <c r="T77" s="3">
        <v>100</v>
      </c>
      <c r="U77" s="3">
        <v>1.1399999999999999</v>
      </c>
      <c r="V77" s="3">
        <v>60</v>
      </c>
      <c r="W77" s="3">
        <v>100</v>
      </c>
      <c r="X77" s="3">
        <v>65.28</v>
      </c>
      <c r="AA77">
        <v>46265</v>
      </c>
    </row>
    <row r="78" spans="1:27">
      <c r="A78" t="s">
        <v>318</v>
      </c>
      <c r="B78">
        <v>46265</v>
      </c>
      <c r="C78" t="s">
        <v>56</v>
      </c>
      <c r="D78" t="s">
        <v>319</v>
      </c>
      <c r="E78" t="s">
        <v>320</v>
      </c>
      <c r="F78" t="s">
        <v>59</v>
      </c>
      <c r="G78" t="s">
        <v>139</v>
      </c>
      <c r="H78" t="s">
        <v>296</v>
      </c>
      <c r="I78" s="2">
        <v>19990</v>
      </c>
      <c r="J78" s="2">
        <v>19990</v>
      </c>
      <c r="K78" s="2">
        <v>0</v>
      </c>
      <c r="L78" s="3">
        <v>0</v>
      </c>
      <c r="M78" t="s">
        <v>92</v>
      </c>
      <c r="N78" t="s">
        <v>53</v>
      </c>
      <c r="O78" t="s">
        <v>93</v>
      </c>
      <c r="P78" s="2">
        <v>27990</v>
      </c>
      <c r="Q78" s="3">
        <v>71.42</v>
      </c>
      <c r="R78" t="s">
        <v>94</v>
      </c>
      <c r="S78" t="s">
        <v>95</v>
      </c>
      <c r="T78" s="3">
        <v>100</v>
      </c>
      <c r="U78" s="3">
        <v>1.1399999999999999</v>
      </c>
      <c r="V78" s="3">
        <v>60</v>
      </c>
      <c r="W78" s="3">
        <v>100</v>
      </c>
      <c r="X78" s="3">
        <v>65.28</v>
      </c>
      <c r="AA78">
        <v>46265</v>
      </c>
    </row>
    <row r="79" spans="1:27">
      <c r="A79" t="s">
        <v>321</v>
      </c>
      <c r="B79">
        <v>46265</v>
      </c>
      <c r="C79" t="s">
        <v>56</v>
      </c>
      <c r="D79" t="s">
        <v>322</v>
      </c>
      <c r="E79" t="s">
        <v>323</v>
      </c>
      <c r="F79" t="s">
        <v>59</v>
      </c>
      <c r="G79" t="s">
        <v>139</v>
      </c>
      <c r="H79" t="s">
        <v>296</v>
      </c>
      <c r="I79" s="2">
        <v>14990</v>
      </c>
      <c r="J79" s="2">
        <v>14990</v>
      </c>
      <c r="K79" s="2">
        <v>0</v>
      </c>
      <c r="L79" s="3">
        <v>0</v>
      </c>
      <c r="M79" t="s">
        <v>92</v>
      </c>
      <c r="N79" t="s">
        <v>52</v>
      </c>
      <c r="O79" t="s">
        <v>93</v>
      </c>
      <c r="P79" s="2">
        <v>27990</v>
      </c>
      <c r="Q79" s="3">
        <v>53.55</v>
      </c>
      <c r="R79" t="s">
        <v>94</v>
      </c>
      <c r="S79" t="s">
        <v>95</v>
      </c>
      <c r="T79" s="3">
        <v>100</v>
      </c>
      <c r="U79" s="3">
        <v>1.1399999999999999</v>
      </c>
      <c r="V79" s="3">
        <v>60</v>
      </c>
      <c r="W79" s="3">
        <v>100</v>
      </c>
      <c r="X79" s="3">
        <v>65.28</v>
      </c>
      <c r="AA79">
        <v>46265</v>
      </c>
    </row>
    <row r="80" spans="1:27">
      <c r="A80" t="s">
        <v>324</v>
      </c>
      <c r="B80">
        <v>46265</v>
      </c>
      <c r="C80" t="s">
        <v>56</v>
      </c>
      <c r="D80" t="s">
        <v>325</v>
      </c>
      <c r="E80" t="s">
        <v>326</v>
      </c>
      <c r="F80" t="s">
        <v>59</v>
      </c>
      <c r="G80" t="s">
        <v>90</v>
      </c>
      <c r="H80" t="s">
        <v>296</v>
      </c>
      <c r="I80" s="2">
        <v>11990</v>
      </c>
      <c r="J80" s="2">
        <v>11990</v>
      </c>
      <c r="K80" s="2">
        <v>0</v>
      </c>
      <c r="L80" s="3">
        <v>0</v>
      </c>
      <c r="M80" t="s">
        <v>92</v>
      </c>
      <c r="N80" t="s">
        <v>52</v>
      </c>
      <c r="O80" t="s">
        <v>93</v>
      </c>
      <c r="P80" s="2">
        <v>27990</v>
      </c>
      <c r="Q80" s="3">
        <v>42.84</v>
      </c>
      <c r="R80" t="s">
        <v>94</v>
      </c>
      <c r="S80" t="s">
        <v>95</v>
      </c>
      <c r="T80" s="3">
        <v>100</v>
      </c>
      <c r="U80" s="3">
        <v>1.1399999999999999</v>
      </c>
      <c r="V80" s="3">
        <v>60</v>
      </c>
      <c r="W80" s="3">
        <v>100</v>
      </c>
      <c r="X80" s="3">
        <v>65.28</v>
      </c>
      <c r="AA80">
        <v>46265</v>
      </c>
    </row>
    <row r="81" spans="1:27">
      <c r="A81" t="s">
        <v>327</v>
      </c>
      <c r="B81">
        <v>46265</v>
      </c>
      <c r="C81" t="s">
        <v>56</v>
      </c>
      <c r="D81" t="s">
        <v>328</v>
      </c>
      <c r="E81" t="s">
        <v>329</v>
      </c>
      <c r="F81" t="s">
        <v>59</v>
      </c>
      <c r="G81" t="s">
        <v>90</v>
      </c>
      <c r="H81" t="s">
        <v>296</v>
      </c>
      <c r="I81" s="2">
        <v>11990</v>
      </c>
      <c r="J81" s="2">
        <v>11990</v>
      </c>
      <c r="K81" s="2">
        <v>0</v>
      </c>
      <c r="L81" s="3">
        <v>0</v>
      </c>
      <c r="M81" t="s">
        <v>92</v>
      </c>
      <c r="N81" t="s">
        <v>52</v>
      </c>
      <c r="O81" t="s">
        <v>93</v>
      </c>
      <c r="P81" s="2">
        <v>27990</v>
      </c>
      <c r="Q81" s="3">
        <v>42.84</v>
      </c>
      <c r="R81" t="s">
        <v>94</v>
      </c>
      <c r="S81" t="s">
        <v>95</v>
      </c>
      <c r="T81" s="3">
        <v>100</v>
      </c>
      <c r="U81" s="3">
        <v>1.1399999999999999</v>
      </c>
      <c r="V81" s="3">
        <v>60</v>
      </c>
      <c r="W81" s="3">
        <v>100</v>
      </c>
      <c r="X81" s="3">
        <v>65.28</v>
      </c>
      <c r="AA81">
        <v>46265</v>
      </c>
    </row>
    <row r="82" spans="1:27">
      <c r="A82" t="s">
        <v>330</v>
      </c>
      <c r="B82">
        <v>46265</v>
      </c>
      <c r="C82" t="s">
        <v>56</v>
      </c>
      <c r="D82" t="s">
        <v>331</v>
      </c>
      <c r="E82" t="s">
        <v>332</v>
      </c>
      <c r="F82" t="s">
        <v>59</v>
      </c>
      <c r="G82" t="s">
        <v>90</v>
      </c>
      <c r="H82" t="s">
        <v>296</v>
      </c>
      <c r="I82" s="2">
        <v>11990</v>
      </c>
      <c r="J82" s="2">
        <v>11990</v>
      </c>
      <c r="K82" s="2">
        <v>0</v>
      </c>
      <c r="L82" s="3">
        <v>0</v>
      </c>
      <c r="M82" t="s">
        <v>92</v>
      </c>
      <c r="N82" t="s">
        <v>52</v>
      </c>
      <c r="O82" t="s">
        <v>93</v>
      </c>
      <c r="P82" s="2">
        <v>27990</v>
      </c>
      <c r="Q82" s="3">
        <v>42.84</v>
      </c>
      <c r="R82" t="s">
        <v>94</v>
      </c>
      <c r="S82" t="s">
        <v>95</v>
      </c>
      <c r="T82" s="3">
        <v>100</v>
      </c>
      <c r="U82" s="3">
        <v>1.1399999999999999</v>
      </c>
      <c r="V82" s="3">
        <v>60</v>
      </c>
      <c r="W82" s="3">
        <v>100</v>
      </c>
      <c r="X82" s="3">
        <v>65.28</v>
      </c>
      <c r="AA82">
        <v>46265</v>
      </c>
    </row>
    <row r="83" spans="1:27">
      <c r="A83" t="s">
        <v>333</v>
      </c>
      <c r="B83">
        <v>46265</v>
      </c>
      <c r="C83" t="s">
        <v>56</v>
      </c>
      <c r="D83" t="s">
        <v>334</v>
      </c>
      <c r="E83" t="s">
        <v>335</v>
      </c>
      <c r="F83" t="s">
        <v>59</v>
      </c>
      <c r="G83" t="s">
        <v>139</v>
      </c>
      <c r="H83" t="s">
        <v>296</v>
      </c>
      <c r="I83" s="2">
        <v>16990</v>
      </c>
      <c r="J83" s="2">
        <v>10194</v>
      </c>
      <c r="K83" s="2">
        <v>6796</v>
      </c>
      <c r="L83" s="3">
        <v>40</v>
      </c>
      <c r="M83" t="s">
        <v>336</v>
      </c>
      <c r="N83" t="s">
        <v>52</v>
      </c>
      <c r="O83" t="s">
        <v>337</v>
      </c>
      <c r="P83" s="2">
        <v>27990</v>
      </c>
      <c r="Q83" s="3">
        <v>36.42</v>
      </c>
      <c r="R83" t="s">
        <v>94</v>
      </c>
      <c r="S83" t="s">
        <v>95</v>
      </c>
      <c r="T83" s="3">
        <v>100</v>
      </c>
      <c r="U83" s="3">
        <v>1.1399999999999999</v>
      </c>
      <c r="V83" s="3">
        <v>60</v>
      </c>
      <c r="W83" s="3">
        <v>100</v>
      </c>
      <c r="X83" s="3">
        <v>65.28</v>
      </c>
      <c r="AA83">
        <v>46265</v>
      </c>
    </row>
    <row r="84" spans="1:27">
      <c r="A84" t="s">
        <v>338</v>
      </c>
      <c r="B84">
        <v>46265</v>
      </c>
      <c r="C84" t="s">
        <v>56</v>
      </c>
      <c r="D84" t="s">
        <v>339</v>
      </c>
      <c r="E84" t="s">
        <v>340</v>
      </c>
      <c r="F84" t="s">
        <v>59</v>
      </c>
      <c r="G84" t="s">
        <v>139</v>
      </c>
      <c r="H84" t="s">
        <v>296</v>
      </c>
      <c r="I84" s="2">
        <v>18990</v>
      </c>
      <c r="J84" s="2">
        <v>18990</v>
      </c>
      <c r="K84" s="2">
        <v>0</v>
      </c>
      <c r="L84" s="3">
        <v>0</v>
      </c>
      <c r="M84" t="s">
        <v>92</v>
      </c>
      <c r="N84" t="s">
        <v>53</v>
      </c>
      <c r="O84" t="s">
        <v>93</v>
      </c>
      <c r="P84" s="2">
        <v>27990</v>
      </c>
      <c r="Q84" s="3">
        <v>67.849999999999994</v>
      </c>
      <c r="R84" t="s">
        <v>94</v>
      </c>
      <c r="S84" t="s">
        <v>95</v>
      </c>
      <c r="T84" s="3">
        <v>100</v>
      </c>
      <c r="U84" s="3">
        <v>1.1399999999999999</v>
      </c>
      <c r="V84" s="3">
        <v>60</v>
      </c>
      <c r="W84" s="3">
        <v>100</v>
      </c>
      <c r="X84" s="3">
        <v>65.28</v>
      </c>
      <c r="AA84">
        <v>46265</v>
      </c>
    </row>
    <row r="85" spans="1:27">
      <c r="A85" t="s">
        <v>341</v>
      </c>
      <c r="B85">
        <v>46265</v>
      </c>
      <c r="C85" t="s">
        <v>56</v>
      </c>
      <c r="D85" t="s">
        <v>342</v>
      </c>
      <c r="E85" t="s">
        <v>343</v>
      </c>
      <c r="F85" t="s">
        <v>59</v>
      </c>
      <c r="G85" t="s">
        <v>139</v>
      </c>
      <c r="H85" t="s">
        <v>296</v>
      </c>
      <c r="I85" s="2">
        <v>29990</v>
      </c>
      <c r="J85" s="2">
        <v>17994</v>
      </c>
      <c r="K85" s="2">
        <v>11996</v>
      </c>
      <c r="L85" s="3">
        <v>40</v>
      </c>
      <c r="M85" t="s">
        <v>336</v>
      </c>
      <c r="N85" t="s">
        <v>53</v>
      </c>
      <c r="O85" t="s">
        <v>337</v>
      </c>
      <c r="P85" s="2">
        <v>27990</v>
      </c>
      <c r="Q85" s="3">
        <v>64.290000000000006</v>
      </c>
      <c r="R85" t="s">
        <v>94</v>
      </c>
      <c r="S85" t="s">
        <v>95</v>
      </c>
      <c r="T85" s="3">
        <v>100</v>
      </c>
      <c r="U85" s="3">
        <v>1.1399999999999999</v>
      </c>
      <c r="V85" s="3">
        <v>60</v>
      </c>
      <c r="W85" s="3">
        <v>100</v>
      </c>
      <c r="X85" s="3">
        <v>65.28</v>
      </c>
      <c r="AA85">
        <v>46265</v>
      </c>
    </row>
    <row r="86" spans="1:27">
      <c r="A86" t="s">
        <v>344</v>
      </c>
      <c r="B86">
        <v>46265</v>
      </c>
      <c r="C86" t="s">
        <v>56</v>
      </c>
      <c r="D86" t="s">
        <v>345</v>
      </c>
      <c r="E86" t="s">
        <v>346</v>
      </c>
      <c r="F86" t="s">
        <v>59</v>
      </c>
      <c r="G86" t="s">
        <v>139</v>
      </c>
      <c r="H86" t="s">
        <v>296</v>
      </c>
      <c r="I86" s="2">
        <v>9990</v>
      </c>
      <c r="J86" s="2">
        <v>6993</v>
      </c>
      <c r="K86" s="2">
        <v>2997</v>
      </c>
      <c r="L86" s="3">
        <v>30</v>
      </c>
      <c r="M86" t="s">
        <v>336</v>
      </c>
      <c r="N86" t="s">
        <v>51</v>
      </c>
      <c r="O86" t="s">
        <v>347</v>
      </c>
      <c r="P86" s="2">
        <v>27990</v>
      </c>
      <c r="Q86" s="3">
        <v>24.98</v>
      </c>
      <c r="R86" t="s">
        <v>94</v>
      </c>
      <c r="S86" t="s">
        <v>95</v>
      </c>
      <c r="T86" s="3">
        <v>100</v>
      </c>
      <c r="U86" s="3">
        <v>1.1399999999999999</v>
      </c>
      <c r="V86" s="3">
        <v>60</v>
      </c>
      <c r="W86" s="3">
        <v>100</v>
      </c>
      <c r="X86" s="3">
        <v>65.28</v>
      </c>
      <c r="AA86">
        <v>46265</v>
      </c>
    </row>
    <row r="87" spans="1:27">
      <c r="A87" t="s">
        <v>348</v>
      </c>
      <c r="B87">
        <v>46265</v>
      </c>
      <c r="C87" t="s">
        <v>56</v>
      </c>
      <c r="D87" t="s">
        <v>349</v>
      </c>
      <c r="E87" t="s">
        <v>350</v>
      </c>
      <c r="F87" t="s">
        <v>59</v>
      </c>
      <c r="G87" t="s">
        <v>126</v>
      </c>
      <c r="H87" t="s">
        <v>296</v>
      </c>
      <c r="I87" s="2">
        <v>10790</v>
      </c>
      <c r="J87" s="2">
        <v>4316</v>
      </c>
      <c r="K87" s="2">
        <v>6474</v>
      </c>
      <c r="L87" s="3">
        <v>60</v>
      </c>
      <c r="M87" t="s">
        <v>336</v>
      </c>
      <c r="N87" t="s">
        <v>51</v>
      </c>
      <c r="O87" t="s">
        <v>351</v>
      </c>
      <c r="P87" s="2">
        <v>27990</v>
      </c>
      <c r="Q87" s="3">
        <v>15.42</v>
      </c>
      <c r="R87" t="s">
        <v>94</v>
      </c>
      <c r="S87" t="s">
        <v>95</v>
      </c>
      <c r="T87" s="3">
        <v>100</v>
      </c>
      <c r="U87" s="3">
        <v>1.1399999999999999</v>
      </c>
      <c r="V87" s="3">
        <v>60</v>
      </c>
      <c r="W87" s="3">
        <v>100</v>
      </c>
      <c r="X87" s="3">
        <v>65.28</v>
      </c>
      <c r="AA87">
        <v>46265</v>
      </c>
    </row>
    <row r="88" spans="1:27">
      <c r="A88" t="s">
        <v>352</v>
      </c>
      <c r="B88">
        <v>46265</v>
      </c>
      <c r="C88" t="s">
        <v>56</v>
      </c>
      <c r="D88" t="s">
        <v>353</v>
      </c>
      <c r="E88" t="s">
        <v>354</v>
      </c>
      <c r="F88" t="s">
        <v>59</v>
      </c>
      <c r="G88" t="s">
        <v>90</v>
      </c>
      <c r="H88" t="s">
        <v>296</v>
      </c>
      <c r="I88" s="2">
        <v>12990</v>
      </c>
      <c r="J88" s="2">
        <v>12990</v>
      </c>
      <c r="K88" s="2">
        <v>0</v>
      </c>
      <c r="L88" s="3">
        <v>0</v>
      </c>
      <c r="M88" t="s">
        <v>92</v>
      </c>
      <c r="N88" t="s">
        <v>52</v>
      </c>
      <c r="O88" t="s">
        <v>93</v>
      </c>
      <c r="P88" s="2">
        <v>27990</v>
      </c>
      <c r="Q88" s="3">
        <v>46.41</v>
      </c>
      <c r="R88" t="s">
        <v>94</v>
      </c>
      <c r="S88" t="s">
        <v>95</v>
      </c>
      <c r="T88" s="3">
        <v>100</v>
      </c>
      <c r="U88" s="3">
        <v>1.1399999999999999</v>
      </c>
      <c r="V88" s="3">
        <v>60</v>
      </c>
      <c r="W88" s="3">
        <v>100</v>
      </c>
      <c r="X88" s="3">
        <v>65.28</v>
      </c>
      <c r="AA88">
        <v>46265</v>
      </c>
    </row>
    <row r="89" spans="1:27">
      <c r="A89" t="s">
        <v>355</v>
      </c>
      <c r="B89">
        <v>46265</v>
      </c>
      <c r="C89" t="s">
        <v>56</v>
      </c>
      <c r="D89" t="s">
        <v>356</v>
      </c>
      <c r="E89" t="s">
        <v>357</v>
      </c>
      <c r="F89" t="s">
        <v>59</v>
      </c>
      <c r="G89" t="s">
        <v>139</v>
      </c>
      <c r="H89" t="s">
        <v>296</v>
      </c>
      <c r="I89" s="2">
        <v>17990</v>
      </c>
      <c r="J89" s="2">
        <v>17990</v>
      </c>
      <c r="K89" s="2">
        <v>0</v>
      </c>
      <c r="L89" s="3">
        <v>0</v>
      </c>
      <c r="M89" t="s">
        <v>92</v>
      </c>
      <c r="N89" t="s">
        <v>53</v>
      </c>
      <c r="O89" t="s">
        <v>93</v>
      </c>
      <c r="P89" s="2">
        <v>27990</v>
      </c>
      <c r="Q89" s="3">
        <v>64.27</v>
      </c>
      <c r="R89" t="s">
        <v>94</v>
      </c>
      <c r="S89" t="s">
        <v>95</v>
      </c>
      <c r="T89" s="3">
        <v>100</v>
      </c>
      <c r="U89" s="3">
        <v>1.1399999999999999</v>
      </c>
      <c r="V89" s="3">
        <v>60</v>
      </c>
      <c r="W89" s="3">
        <v>100</v>
      </c>
      <c r="X89" s="3">
        <v>65.28</v>
      </c>
      <c r="AA89">
        <v>46265</v>
      </c>
    </row>
    <row r="90" spans="1:27">
      <c r="A90" t="s">
        <v>358</v>
      </c>
      <c r="B90">
        <v>46265</v>
      </c>
      <c r="C90" t="s">
        <v>56</v>
      </c>
      <c r="D90" t="s">
        <v>319</v>
      </c>
      <c r="E90" t="s">
        <v>359</v>
      </c>
      <c r="F90" t="s">
        <v>59</v>
      </c>
      <c r="G90" t="s">
        <v>139</v>
      </c>
      <c r="H90" t="s">
        <v>296</v>
      </c>
      <c r="I90" s="2">
        <v>17990</v>
      </c>
      <c r="J90" s="2">
        <v>17990</v>
      </c>
      <c r="K90" s="2">
        <v>0</v>
      </c>
      <c r="L90" s="3">
        <v>0</v>
      </c>
      <c r="M90" t="s">
        <v>92</v>
      </c>
      <c r="N90" t="s">
        <v>53</v>
      </c>
      <c r="O90" t="s">
        <v>93</v>
      </c>
      <c r="P90" s="2">
        <v>27990</v>
      </c>
      <c r="Q90" s="3">
        <v>64.27</v>
      </c>
      <c r="R90" t="s">
        <v>94</v>
      </c>
      <c r="S90" t="s">
        <v>95</v>
      </c>
      <c r="T90" s="3">
        <v>100</v>
      </c>
      <c r="U90" s="3">
        <v>1.1399999999999999</v>
      </c>
      <c r="V90" s="3">
        <v>60</v>
      </c>
      <c r="W90" s="3">
        <v>100</v>
      </c>
      <c r="X90" s="3">
        <v>65.28</v>
      </c>
      <c r="AA90">
        <v>46265</v>
      </c>
    </row>
    <row r="91" spans="1:27">
      <c r="A91" t="s">
        <v>360</v>
      </c>
      <c r="B91">
        <v>46265</v>
      </c>
      <c r="C91" t="s">
        <v>56</v>
      </c>
      <c r="D91" t="s">
        <v>361</v>
      </c>
      <c r="E91" t="s">
        <v>362</v>
      </c>
      <c r="F91" t="s">
        <v>59</v>
      </c>
      <c r="G91" t="s">
        <v>139</v>
      </c>
      <c r="H91" t="s">
        <v>296</v>
      </c>
      <c r="I91" s="2">
        <v>29990</v>
      </c>
      <c r="J91" s="2">
        <v>29990</v>
      </c>
      <c r="K91" s="2">
        <v>0</v>
      </c>
      <c r="L91" s="3">
        <v>0</v>
      </c>
      <c r="M91" t="s">
        <v>92</v>
      </c>
      <c r="N91" t="s">
        <v>53</v>
      </c>
      <c r="O91" t="s">
        <v>93</v>
      </c>
      <c r="P91" s="2">
        <v>27990</v>
      </c>
      <c r="Q91" s="3">
        <v>107.15</v>
      </c>
      <c r="R91" t="s">
        <v>94</v>
      </c>
      <c r="S91" t="s">
        <v>95</v>
      </c>
      <c r="T91" s="3">
        <v>100</v>
      </c>
      <c r="U91" s="3">
        <v>1.1399999999999999</v>
      </c>
      <c r="V91" s="3">
        <v>60</v>
      </c>
      <c r="W91" s="3">
        <v>100</v>
      </c>
      <c r="X91" s="3">
        <v>65.28</v>
      </c>
      <c r="AA91">
        <v>46265</v>
      </c>
    </row>
    <row r="92" spans="1:27">
      <c r="A92" t="s">
        <v>363</v>
      </c>
      <c r="B92">
        <v>46265</v>
      </c>
      <c r="C92" t="s">
        <v>56</v>
      </c>
      <c r="D92" t="s">
        <v>364</v>
      </c>
      <c r="E92" t="s">
        <v>365</v>
      </c>
      <c r="F92" t="s">
        <v>59</v>
      </c>
      <c r="G92" t="s">
        <v>139</v>
      </c>
      <c r="H92" t="s">
        <v>296</v>
      </c>
      <c r="I92" s="2">
        <v>14990</v>
      </c>
      <c r="J92" s="2">
        <v>14990</v>
      </c>
      <c r="K92" s="2">
        <v>0</v>
      </c>
      <c r="L92" s="3">
        <v>0</v>
      </c>
      <c r="M92" t="s">
        <v>92</v>
      </c>
      <c r="N92" t="s">
        <v>52</v>
      </c>
      <c r="O92" t="s">
        <v>93</v>
      </c>
      <c r="P92" s="2">
        <v>27990</v>
      </c>
      <c r="Q92" s="3">
        <v>53.55</v>
      </c>
      <c r="R92" t="s">
        <v>94</v>
      </c>
      <c r="S92" t="s">
        <v>95</v>
      </c>
      <c r="T92" s="3">
        <v>100</v>
      </c>
      <c r="U92" s="3">
        <v>1.1399999999999999</v>
      </c>
      <c r="V92" s="3">
        <v>60</v>
      </c>
      <c r="W92" s="3">
        <v>100</v>
      </c>
      <c r="X92" s="3">
        <v>65.28</v>
      </c>
      <c r="AA92">
        <v>46265</v>
      </c>
    </row>
    <row r="93" spans="1:27">
      <c r="A93" t="s">
        <v>366</v>
      </c>
      <c r="B93">
        <v>46265</v>
      </c>
      <c r="C93" t="s">
        <v>56</v>
      </c>
      <c r="D93" t="s">
        <v>356</v>
      </c>
      <c r="E93" t="s">
        <v>367</v>
      </c>
      <c r="F93" t="s">
        <v>59</v>
      </c>
      <c r="G93" t="s">
        <v>139</v>
      </c>
      <c r="H93" t="s">
        <v>296</v>
      </c>
      <c r="I93" s="2">
        <v>17990</v>
      </c>
      <c r="J93" s="2">
        <v>17990</v>
      </c>
      <c r="K93" s="2">
        <v>0</v>
      </c>
      <c r="L93" s="3">
        <v>0</v>
      </c>
      <c r="M93" t="s">
        <v>92</v>
      </c>
      <c r="N93" t="s">
        <v>53</v>
      </c>
      <c r="O93" t="s">
        <v>93</v>
      </c>
      <c r="P93" s="2">
        <v>27990</v>
      </c>
      <c r="Q93" s="3">
        <v>64.27</v>
      </c>
      <c r="R93" t="s">
        <v>94</v>
      </c>
      <c r="S93" t="s">
        <v>95</v>
      </c>
      <c r="T93" s="3">
        <v>100</v>
      </c>
      <c r="U93" s="3">
        <v>1.1399999999999999</v>
      </c>
      <c r="V93" s="3">
        <v>60</v>
      </c>
      <c r="W93" s="3">
        <v>100</v>
      </c>
      <c r="X93" s="3">
        <v>65.28</v>
      </c>
      <c r="AA93">
        <v>46265</v>
      </c>
    </row>
    <row r="94" spans="1:27">
      <c r="A94" t="s">
        <v>368</v>
      </c>
      <c r="B94">
        <v>46265</v>
      </c>
      <c r="C94" t="s">
        <v>56</v>
      </c>
      <c r="D94" t="s">
        <v>369</v>
      </c>
      <c r="E94" t="s">
        <v>370</v>
      </c>
      <c r="F94" t="s">
        <v>59</v>
      </c>
      <c r="G94" t="s">
        <v>139</v>
      </c>
      <c r="H94" t="s">
        <v>296</v>
      </c>
      <c r="I94" s="2">
        <v>24990</v>
      </c>
      <c r="J94" s="2">
        <v>24990</v>
      </c>
      <c r="K94" s="2">
        <v>0</v>
      </c>
      <c r="L94" s="3">
        <v>0</v>
      </c>
      <c r="M94" t="s">
        <v>92</v>
      </c>
      <c r="N94" t="s">
        <v>53</v>
      </c>
      <c r="O94" t="s">
        <v>93</v>
      </c>
      <c r="P94" s="2">
        <v>27990</v>
      </c>
      <c r="Q94" s="3">
        <v>89.28</v>
      </c>
      <c r="R94" t="s">
        <v>94</v>
      </c>
      <c r="S94" t="s">
        <v>95</v>
      </c>
      <c r="T94" s="3">
        <v>100</v>
      </c>
      <c r="U94" s="3">
        <v>1.1399999999999999</v>
      </c>
      <c r="V94" s="3">
        <v>60</v>
      </c>
      <c r="W94" s="3">
        <v>100</v>
      </c>
      <c r="X94" s="3">
        <v>65.28</v>
      </c>
      <c r="AA94">
        <v>46265</v>
      </c>
    </row>
    <row r="95" spans="1:27">
      <c r="A95" t="s">
        <v>371</v>
      </c>
      <c r="B95">
        <v>46265</v>
      </c>
      <c r="C95" t="s">
        <v>56</v>
      </c>
      <c r="D95" t="s">
        <v>372</v>
      </c>
      <c r="E95" t="s">
        <v>373</v>
      </c>
      <c r="F95" t="s">
        <v>59</v>
      </c>
      <c r="G95" t="s">
        <v>139</v>
      </c>
      <c r="H95" t="s">
        <v>296</v>
      </c>
      <c r="I95" s="2">
        <v>14990</v>
      </c>
      <c r="J95" s="2">
        <v>14990</v>
      </c>
      <c r="K95" s="2">
        <v>0</v>
      </c>
      <c r="L95" s="3">
        <v>0</v>
      </c>
      <c r="M95" t="s">
        <v>92</v>
      </c>
      <c r="N95" t="s">
        <v>52</v>
      </c>
      <c r="O95" t="s">
        <v>93</v>
      </c>
      <c r="P95" s="2">
        <v>27990</v>
      </c>
      <c r="Q95" s="3">
        <v>53.55</v>
      </c>
      <c r="R95" t="s">
        <v>94</v>
      </c>
      <c r="S95" t="s">
        <v>95</v>
      </c>
      <c r="T95" s="3">
        <v>100</v>
      </c>
      <c r="U95" s="3">
        <v>1.1399999999999999</v>
      </c>
      <c r="V95" s="3">
        <v>60</v>
      </c>
      <c r="W95" s="3">
        <v>100</v>
      </c>
      <c r="X95" s="3">
        <v>65.28</v>
      </c>
      <c r="AA95">
        <v>46265</v>
      </c>
    </row>
    <row r="96" spans="1:27">
      <c r="A96" t="s">
        <v>374</v>
      </c>
      <c r="B96">
        <v>46265</v>
      </c>
      <c r="C96" t="s">
        <v>56</v>
      </c>
      <c r="D96" t="s">
        <v>375</v>
      </c>
      <c r="E96" t="s">
        <v>376</v>
      </c>
      <c r="F96" t="s">
        <v>59</v>
      </c>
      <c r="G96" t="s">
        <v>139</v>
      </c>
      <c r="H96" t="s">
        <v>296</v>
      </c>
      <c r="I96" s="2">
        <v>18990</v>
      </c>
      <c r="J96" s="2">
        <v>18990</v>
      </c>
      <c r="K96" s="2">
        <v>0</v>
      </c>
      <c r="L96" s="3">
        <v>0</v>
      </c>
      <c r="M96" t="s">
        <v>92</v>
      </c>
      <c r="N96" t="s">
        <v>53</v>
      </c>
      <c r="O96" t="s">
        <v>93</v>
      </c>
      <c r="P96" s="2">
        <v>27990</v>
      </c>
      <c r="Q96" s="3">
        <v>67.849999999999994</v>
      </c>
      <c r="R96" t="s">
        <v>94</v>
      </c>
      <c r="S96" t="s">
        <v>95</v>
      </c>
      <c r="T96" s="3">
        <v>100</v>
      </c>
      <c r="U96" s="3">
        <v>1.1399999999999999</v>
      </c>
      <c r="V96" s="3">
        <v>60</v>
      </c>
      <c r="W96" s="3">
        <v>100</v>
      </c>
      <c r="X96" s="3">
        <v>65.28</v>
      </c>
      <c r="AA96">
        <v>46265</v>
      </c>
    </row>
    <row r="97" spans="1:27">
      <c r="A97" t="s">
        <v>377</v>
      </c>
      <c r="B97">
        <v>46265</v>
      </c>
      <c r="C97" t="s">
        <v>56</v>
      </c>
      <c r="D97" t="s">
        <v>378</v>
      </c>
      <c r="E97" t="s">
        <v>379</v>
      </c>
      <c r="F97" t="s">
        <v>59</v>
      </c>
      <c r="G97" t="s">
        <v>90</v>
      </c>
      <c r="H97" t="s">
        <v>296</v>
      </c>
      <c r="I97" s="2">
        <v>13990</v>
      </c>
      <c r="J97" s="2">
        <v>13990</v>
      </c>
      <c r="K97" s="2">
        <v>0</v>
      </c>
      <c r="L97" s="3">
        <v>0</v>
      </c>
      <c r="M97" t="s">
        <v>92</v>
      </c>
      <c r="N97" t="s">
        <v>52</v>
      </c>
      <c r="O97" t="s">
        <v>93</v>
      </c>
      <c r="P97" s="2">
        <v>27990</v>
      </c>
      <c r="Q97" s="3">
        <v>49.98</v>
      </c>
      <c r="R97" t="s">
        <v>94</v>
      </c>
      <c r="S97" t="s">
        <v>95</v>
      </c>
      <c r="T97" s="3">
        <v>100</v>
      </c>
      <c r="U97" s="3">
        <v>1.1399999999999999</v>
      </c>
      <c r="V97" s="3">
        <v>60</v>
      </c>
      <c r="W97" s="3">
        <v>100</v>
      </c>
      <c r="X97" s="3">
        <v>65.28</v>
      </c>
      <c r="AA97">
        <v>46265</v>
      </c>
    </row>
    <row r="98" spans="1:27">
      <c r="A98" t="s">
        <v>380</v>
      </c>
      <c r="B98">
        <v>46265</v>
      </c>
      <c r="C98" t="s">
        <v>56</v>
      </c>
      <c r="D98" t="s">
        <v>381</v>
      </c>
      <c r="E98" t="s">
        <v>382</v>
      </c>
      <c r="F98" t="s">
        <v>59</v>
      </c>
      <c r="G98" t="s">
        <v>139</v>
      </c>
      <c r="H98" t="s">
        <v>296</v>
      </c>
      <c r="I98" s="2">
        <v>18990</v>
      </c>
      <c r="J98" s="2">
        <v>18990</v>
      </c>
      <c r="K98" s="2">
        <v>0</v>
      </c>
      <c r="L98" s="3">
        <v>0</v>
      </c>
      <c r="M98" t="s">
        <v>92</v>
      </c>
      <c r="N98" t="s">
        <v>53</v>
      </c>
      <c r="O98" t="s">
        <v>93</v>
      </c>
      <c r="P98" s="2">
        <v>27990</v>
      </c>
      <c r="Q98" s="3">
        <v>67.849999999999994</v>
      </c>
      <c r="R98" t="s">
        <v>94</v>
      </c>
      <c r="S98" t="s">
        <v>95</v>
      </c>
      <c r="T98" s="3">
        <v>100</v>
      </c>
      <c r="U98" s="3">
        <v>1.1399999999999999</v>
      </c>
      <c r="V98" s="3">
        <v>60</v>
      </c>
      <c r="W98" s="3">
        <v>100</v>
      </c>
      <c r="X98" s="3">
        <v>65.28</v>
      </c>
      <c r="AA98">
        <v>46265</v>
      </c>
    </row>
    <row r="99" spans="1:27">
      <c r="A99" t="s">
        <v>383</v>
      </c>
      <c r="B99">
        <v>46265</v>
      </c>
      <c r="C99" t="s">
        <v>56</v>
      </c>
      <c r="D99" t="s">
        <v>384</v>
      </c>
      <c r="E99" t="s">
        <v>385</v>
      </c>
      <c r="F99" t="s">
        <v>59</v>
      </c>
      <c r="G99" t="s">
        <v>139</v>
      </c>
      <c r="H99" t="s">
        <v>296</v>
      </c>
      <c r="I99" s="2">
        <v>16990</v>
      </c>
      <c r="J99" s="2">
        <v>16990</v>
      </c>
      <c r="K99" s="2">
        <v>0</v>
      </c>
      <c r="L99" s="3">
        <v>0</v>
      </c>
      <c r="M99" t="s">
        <v>92</v>
      </c>
      <c r="N99" t="s">
        <v>53</v>
      </c>
      <c r="O99" t="s">
        <v>93</v>
      </c>
      <c r="P99" s="2">
        <v>27990</v>
      </c>
      <c r="Q99" s="3">
        <v>60.7</v>
      </c>
      <c r="R99" t="s">
        <v>94</v>
      </c>
      <c r="S99" t="s">
        <v>95</v>
      </c>
      <c r="T99" s="3">
        <v>100</v>
      </c>
      <c r="U99" s="3">
        <v>1.1399999999999999</v>
      </c>
      <c r="V99" s="3">
        <v>60</v>
      </c>
      <c r="W99" s="3">
        <v>100</v>
      </c>
      <c r="X99" s="3">
        <v>65.28</v>
      </c>
      <c r="AA99">
        <v>46265</v>
      </c>
    </row>
    <row r="100" spans="1:27">
      <c r="A100" t="s">
        <v>386</v>
      </c>
      <c r="B100">
        <v>46265</v>
      </c>
      <c r="C100" t="s">
        <v>56</v>
      </c>
      <c r="D100" t="s">
        <v>387</v>
      </c>
      <c r="E100" t="s">
        <v>388</v>
      </c>
      <c r="F100" t="s">
        <v>59</v>
      </c>
      <c r="G100" t="s">
        <v>139</v>
      </c>
      <c r="H100" t="s">
        <v>296</v>
      </c>
      <c r="I100" s="2">
        <v>27990</v>
      </c>
      <c r="J100" s="2">
        <v>27990</v>
      </c>
      <c r="K100" s="2">
        <v>0</v>
      </c>
      <c r="L100" s="3">
        <v>0</v>
      </c>
      <c r="M100" t="s">
        <v>92</v>
      </c>
      <c r="N100" t="s">
        <v>53</v>
      </c>
      <c r="O100" t="s">
        <v>93</v>
      </c>
      <c r="P100" s="2">
        <v>27990</v>
      </c>
      <c r="Q100" s="3">
        <v>100</v>
      </c>
      <c r="R100" t="s">
        <v>94</v>
      </c>
      <c r="S100" t="s">
        <v>95</v>
      </c>
      <c r="T100" s="3">
        <v>100</v>
      </c>
      <c r="U100" s="3">
        <v>1.1399999999999999</v>
      </c>
      <c r="V100" s="3">
        <v>60</v>
      </c>
      <c r="W100" s="3">
        <v>100</v>
      </c>
      <c r="X100" s="3">
        <v>65.28</v>
      </c>
      <c r="AA100">
        <v>46265</v>
      </c>
    </row>
    <row r="101" spans="1:27">
      <c r="A101" t="s">
        <v>389</v>
      </c>
      <c r="B101">
        <v>46265</v>
      </c>
      <c r="C101" t="s">
        <v>56</v>
      </c>
      <c r="D101" t="s">
        <v>390</v>
      </c>
      <c r="E101" t="s">
        <v>391</v>
      </c>
      <c r="F101" t="s">
        <v>59</v>
      </c>
      <c r="G101" t="s">
        <v>90</v>
      </c>
      <c r="H101" t="s">
        <v>296</v>
      </c>
      <c r="I101" s="2">
        <v>15990</v>
      </c>
      <c r="J101" s="2">
        <v>15990</v>
      </c>
      <c r="K101" s="2">
        <v>0</v>
      </c>
      <c r="L101" s="3">
        <v>0</v>
      </c>
      <c r="M101" t="s">
        <v>92</v>
      </c>
      <c r="N101" t="s">
        <v>53</v>
      </c>
      <c r="O101" t="s">
        <v>93</v>
      </c>
      <c r="P101" s="2">
        <v>27990</v>
      </c>
      <c r="Q101" s="3">
        <v>57.13</v>
      </c>
      <c r="R101" t="s">
        <v>94</v>
      </c>
      <c r="S101" t="s">
        <v>95</v>
      </c>
      <c r="T101" s="3">
        <v>100</v>
      </c>
      <c r="U101" s="3">
        <v>1.1399999999999999</v>
      </c>
      <c r="V101" s="3">
        <v>60</v>
      </c>
      <c r="W101" s="3">
        <v>100</v>
      </c>
      <c r="X101" s="3">
        <v>65.28</v>
      </c>
      <c r="AA101">
        <v>46265</v>
      </c>
    </row>
    <row r="102" spans="1:27">
      <c r="A102" t="s">
        <v>392</v>
      </c>
      <c r="B102">
        <v>46265</v>
      </c>
      <c r="C102" t="s">
        <v>58</v>
      </c>
      <c r="D102" t="s">
        <v>393</v>
      </c>
      <c r="E102" t="s">
        <v>394</v>
      </c>
      <c r="F102" t="s">
        <v>57</v>
      </c>
      <c r="G102" t="s">
        <v>139</v>
      </c>
      <c r="H102" t="s">
        <v>57</v>
      </c>
      <c r="I102" s="2">
        <v>36990</v>
      </c>
      <c r="J102" s="2">
        <v>36990</v>
      </c>
      <c r="K102" s="2">
        <v>0</v>
      </c>
      <c r="L102" s="3">
        <v>0</v>
      </c>
      <c r="M102" t="s">
        <v>92</v>
      </c>
      <c r="N102" t="s">
        <v>54</v>
      </c>
      <c r="O102" t="s">
        <v>93</v>
      </c>
      <c r="P102" s="2">
        <v>6900</v>
      </c>
      <c r="Q102" s="3">
        <v>536.09</v>
      </c>
      <c r="R102" t="s">
        <v>94</v>
      </c>
      <c r="S102" t="s">
        <v>95</v>
      </c>
      <c r="T102" s="3">
        <v>0</v>
      </c>
      <c r="U102" s="3">
        <v>21.26</v>
      </c>
      <c r="V102" s="3">
        <v>80</v>
      </c>
      <c r="W102" s="3">
        <v>100</v>
      </c>
      <c r="X102" s="3">
        <v>45.32</v>
      </c>
      <c r="AA102">
        <v>46265</v>
      </c>
    </row>
    <row r="103" spans="1:27">
      <c r="A103" t="s">
        <v>395</v>
      </c>
      <c r="B103">
        <v>46265</v>
      </c>
      <c r="C103" t="s">
        <v>58</v>
      </c>
      <c r="D103" t="s">
        <v>393</v>
      </c>
      <c r="E103" t="s">
        <v>396</v>
      </c>
      <c r="F103" t="s">
        <v>57</v>
      </c>
      <c r="G103" t="s">
        <v>139</v>
      </c>
      <c r="H103" t="s">
        <v>57</v>
      </c>
      <c r="I103" s="2">
        <v>36990</v>
      </c>
      <c r="J103" s="2">
        <v>36990</v>
      </c>
      <c r="K103" s="2">
        <v>0</v>
      </c>
      <c r="L103" s="3">
        <v>0</v>
      </c>
      <c r="M103" t="s">
        <v>92</v>
      </c>
      <c r="N103" t="s">
        <v>54</v>
      </c>
      <c r="O103" t="s">
        <v>93</v>
      </c>
      <c r="P103" s="2">
        <v>6900</v>
      </c>
      <c r="Q103" s="3">
        <v>536.09</v>
      </c>
      <c r="R103" t="s">
        <v>94</v>
      </c>
      <c r="S103" t="s">
        <v>95</v>
      </c>
      <c r="T103" s="3">
        <v>0</v>
      </c>
      <c r="U103" s="3">
        <v>21.26</v>
      </c>
      <c r="V103" s="3">
        <v>80</v>
      </c>
      <c r="W103" s="3">
        <v>100</v>
      </c>
      <c r="X103" s="3">
        <v>45.32</v>
      </c>
      <c r="AA103">
        <v>46265</v>
      </c>
    </row>
    <row r="104" spans="1:27">
      <c r="A104" t="s">
        <v>397</v>
      </c>
      <c r="B104">
        <v>46265</v>
      </c>
      <c r="C104" t="s">
        <v>58</v>
      </c>
      <c r="D104" t="s">
        <v>393</v>
      </c>
      <c r="E104" t="s">
        <v>398</v>
      </c>
      <c r="F104" t="s">
        <v>57</v>
      </c>
      <c r="G104" t="s">
        <v>139</v>
      </c>
      <c r="H104" t="s">
        <v>57</v>
      </c>
      <c r="I104" s="2">
        <v>35990</v>
      </c>
      <c r="J104" s="2">
        <v>35990</v>
      </c>
      <c r="K104" s="2">
        <v>0</v>
      </c>
      <c r="L104" s="3">
        <v>0</v>
      </c>
      <c r="M104" t="s">
        <v>92</v>
      </c>
      <c r="N104" t="s">
        <v>54</v>
      </c>
      <c r="O104" t="s">
        <v>93</v>
      </c>
      <c r="P104" s="2">
        <v>6900</v>
      </c>
      <c r="Q104" s="3">
        <v>521.59</v>
      </c>
      <c r="R104" t="s">
        <v>94</v>
      </c>
      <c r="S104" t="s">
        <v>95</v>
      </c>
      <c r="T104" s="3">
        <v>0</v>
      </c>
      <c r="U104" s="3">
        <v>21.26</v>
      </c>
      <c r="V104" s="3">
        <v>80</v>
      </c>
      <c r="W104" s="3">
        <v>100</v>
      </c>
      <c r="X104" s="3">
        <v>45.32</v>
      </c>
      <c r="AA104">
        <v>46265</v>
      </c>
    </row>
    <row r="105" spans="1:27">
      <c r="A105" t="s">
        <v>399</v>
      </c>
      <c r="B105">
        <v>46265</v>
      </c>
      <c r="C105" t="s">
        <v>58</v>
      </c>
      <c r="D105" t="s">
        <v>393</v>
      </c>
      <c r="E105" t="s">
        <v>400</v>
      </c>
      <c r="F105" t="s">
        <v>57</v>
      </c>
      <c r="G105" t="s">
        <v>139</v>
      </c>
      <c r="H105" t="s">
        <v>57</v>
      </c>
      <c r="I105" s="2">
        <v>35990</v>
      </c>
      <c r="J105" s="2">
        <v>35990</v>
      </c>
      <c r="K105" s="2">
        <v>0</v>
      </c>
      <c r="L105" s="3">
        <v>0</v>
      </c>
      <c r="M105" t="s">
        <v>92</v>
      </c>
      <c r="N105" t="s">
        <v>54</v>
      </c>
      <c r="O105" t="s">
        <v>93</v>
      </c>
      <c r="P105" s="2">
        <v>6900</v>
      </c>
      <c r="Q105" s="3">
        <v>521.59</v>
      </c>
      <c r="R105" t="s">
        <v>94</v>
      </c>
      <c r="S105" t="s">
        <v>95</v>
      </c>
      <c r="T105" s="3">
        <v>0</v>
      </c>
      <c r="U105" s="3">
        <v>21.26</v>
      </c>
      <c r="V105" s="3">
        <v>80</v>
      </c>
      <c r="W105" s="3">
        <v>100</v>
      </c>
      <c r="X105" s="3">
        <v>45.32</v>
      </c>
      <c r="AA105">
        <v>46265</v>
      </c>
    </row>
    <row r="106" spans="1:27">
      <c r="A106" t="s">
        <v>401</v>
      </c>
      <c r="B106">
        <v>46265</v>
      </c>
      <c r="C106" t="s">
        <v>58</v>
      </c>
      <c r="D106" t="s">
        <v>393</v>
      </c>
      <c r="E106" t="s">
        <v>402</v>
      </c>
      <c r="F106" t="s">
        <v>57</v>
      </c>
      <c r="G106" t="s">
        <v>139</v>
      </c>
      <c r="H106" t="s">
        <v>57</v>
      </c>
      <c r="I106" s="2">
        <v>35990</v>
      </c>
      <c r="J106" s="2">
        <v>35990</v>
      </c>
      <c r="K106" s="2">
        <v>0</v>
      </c>
      <c r="L106" s="3">
        <v>0</v>
      </c>
      <c r="M106" t="s">
        <v>92</v>
      </c>
      <c r="N106" t="s">
        <v>54</v>
      </c>
      <c r="O106" t="s">
        <v>93</v>
      </c>
      <c r="P106" s="2">
        <v>6900</v>
      </c>
      <c r="Q106" s="3">
        <v>521.59</v>
      </c>
      <c r="R106" t="s">
        <v>94</v>
      </c>
      <c r="S106" t="s">
        <v>95</v>
      </c>
      <c r="T106" s="3">
        <v>0</v>
      </c>
      <c r="U106" s="3">
        <v>21.26</v>
      </c>
      <c r="V106" s="3">
        <v>80</v>
      </c>
      <c r="W106" s="3">
        <v>100</v>
      </c>
      <c r="X106" s="3">
        <v>45.32</v>
      </c>
      <c r="AA106">
        <v>46265</v>
      </c>
    </row>
    <row r="107" spans="1:27">
      <c r="A107" t="s">
        <v>403</v>
      </c>
      <c r="B107">
        <v>46265</v>
      </c>
      <c r="C107" t="s">
        <v>58</v>
      </c>
      <c r="D107" t="s">
        <v>393</v>
      </c>
      <c r="E107" t="s">
        <v>404</v>
      </c>
      <c r="F107" t="s">
        <v>57</v>
      </c>
      <c r="G107" t="s">
        <v>139</v>
      </c>
      <c r="H107" t="s">
        <v>57</v>
      </c>
      <c r="I107" s="2">
        <v>33990</v>
      </c>
      <c r="J107" s="2">
        <v>33990</v>
      </c>
      <c r="K107" s="2">
        <v>0</v>
      </c>
      <c r="L107" s="3">
        <v>0</v>
      </c>
      <c r="M107" t="s">
        <v>92</v>
      </c>
      <c r="N107" t="s">
        <v>54</v>
      </c>
      <c r="O107" t="s">
        <v>93</v>
      </c>
      <c r="P107" s="2">
        <v>6900</v>
      </c>
      <c r="Q107" s="3">
        <v>492.61</v>
      </c>
      <c r="R107" t="s">
        <v>94</v>
      </c>
      <c r="S107" t="s">
        <v>95</v>
      </c>
      <c r="T107" s="3">
        <v>0</v>
      </c>
      <c r="U107" s="3">
        <v>21.26</v>
      </c>
      <c r="V107" s="3">
        <v>80</v>
      </c>
      <c r="W107" s="3">
        <v>100</v>
      </c>
      <c r="X107" s="3">
        <v>45.32</v>
      </c>
      <c r="AA107">
        <v>46265</v>
      </c>
    </row>
    <row r="108" spans="1:27">
      <c r="A108" t="s">
        <v>405</v>
      </c>
      <c r="B108">
        <v>46265</v>
      </c>
      <c r="C108" t="s">
        <v>58</v>
      </c>
      <c r="D108" t="s">
        <v>406</v>
      </c>
      <c r="E108" t="s">
        <v>407</v>
      </c>
      <c r="F108" t="s">
        <v>57</v>
      </c>
      <c r="G108" t="s">
        <v>139</v>
      </c>
      <c r="H108" t="s">
        <v>57</v>
      </c>
      <c r="I108" s="2">
        <v>17990</v>
      </c>
      <c r="J108" s="2">
        <v>17990</v>
      </c>
      <c r="K108" s="2">
        <v>0</v>
      </c>
      <c r="L108" s="3">
        <v>0</v>
      </c>
      <c r="M108" t="s">
        <v>92</v>
      </c>
      <c r="N108" t="s">
        <v>53</v>
      </c>
      <c r="O108" t="s">
        <v>93</v>
      </c>
      <c r="P108" s="2">
        <v>6900</v>
      </c>
      <c r="Q108" s="3">
        <v>260.72000000000003</v>
      </c>
      <c r="R108" t="s">
        <v>94</v>
      </c>
      <c r="S108" t="s">
        <v>95</v>
      </c>
      <c r="T108" s="3">
        <v>0</v>
      </c>
      <c r="U108" s="3">
        <v>21.26</v>
      </c>
      <c r="V108" s="3">
        <v>80</v>
      </c>
      <c r="W108" s="3">
        <v>100</v>
      </c>
      <c r="X108" s="3">
        <v>45.32</v>
      </c>
      <c r="AA108">
        <v>46265</v>
      </c>
    </row>
    <row r="109" spans="1:27">
      <c r="A109" t="s">
        <v>408</v>
      </c>
      <c r="B109">
        <v>46265</v>
      </c>
      <c r="C109" t="s">
        <v>58</v>
      </c>
      <c r="D109" t="s">
        <v>406</v>
      </c>
      <c r="E109" t="s">
        <v>409</v>
      </c>
      <c r="F109" t="s">
        <v>57</v>
      </c>
      <c r="G109" t="s">
        <v>139</v>
      </c>
      <c r="H109" t="s">
        <v>57</v>
      </c>
      <c r="I109" s="2">
        <v>18790</v>
      </c>
      <c r="J109" s="2">
        <v>18790</v>
      </c>
      <c r="K109" s="2">
        <v>0</v>
      </c>
      <c r="L109" s="3">
        <v>0</v>
      </c>
      <c r="M109" t="s">
        <v>92</v>
      </c>
      <c r="N109" t="s">
        <v>53</v>
      </c>
      <c r="O109" t="s">
        <v>93</v>
      </c>
      <c r="P109" s="2">
        <v>6900</v>
      </c>
      <c r="Q109" s="3">
        <v>272.32</v>
      </c>
      <c r="R109" t="s">
        <v>94</v>
      </c>
      <c r="S109" t="s">
        <v>95</v>
      </c>
      <c r="T109" s="3">
        <v>0</v>
      </c>
      <c r="U109" s="3">
        <v>21.26</v>
      </c>
      <c r="V109" s="3">
        <v>80</v>
      </c>
      <c r="W109" s="3">
        <v>100</v>
      </c>
      <c r="X109" s="3">
        <v>45.32</v>
      </c>
      <c r="AA109">
        <v>46265</v>
      </c>
    </row>
    <row r="110" spans="1:27">
      <c r="A110" t="s">
        <v>410</v>
      </c>
      <c r="B110">
        <v>46265</v>
      </c>
      <c r="C110" t="s">
        <v>58</v>
      </c>
      <c r="D110" t="s">
        <v>406</v>
      </c>
      <c r="E110" t="s">
        <v>411</v>
      </c>
      <c r="F110" t="s">
        <v>57</v>
      </c>
      <c r="G110" t="s">
        <v>139</v>
      </c>
      <c r="H110" t="s">
        <v>57</v>
      </c>
      <c r="I110" s="2">
        <v>18790</v>
      </c>
      <c r="J110" s="2">
        <v>18790</v>
      </c>
      <c r="K110" s="2">
        <v>0</v>
      </c>
      <c r="L110" s="3">
        <v>0</v>
      </c>
      <c r="M110" t="s">
        <v>92</v>
      </c>
      <c r="N110" t="s">
        <v>53</v>
      </c>
      <c r="O110" t="s">
        <v>93</v>
      </c>
      <c r="P110" s="2">
        <v>6900</v>
      </c>
      <c r="Q110" s="3">
        <v>272.32</v>
      </c>
      <c r="R110" t="s">
        <v>94</v>
      </c>
      <c r="S110" t="s">
        <v>95</v>
      </c>
      <c r="T110" s="3">
        <v>0</v>
      </c>
      <c r="U110" s="3">
        <v>21.26</v>
      </c>
      <c r="V110" s="3">
        <v>80</v>
      </c>
      <c r="W110" s="3">
        <v>100</v>
      </c>
      <c r="X110" s="3">
        <v>45.32</v>
      </c>
      <c r="AA110">
        <v>46265</v>
      </c>
    </row>
    <row r="111" spans="1:27">
      <c r="A111" t="s">
        <v>412</v>
      </c>
      <c r="B111">
        <v>46265</v>
      </c>
      <c r="C111" t="s">
        <v>58</v>
      </c>
      <c r="D111" t="s">
        <v>406</v>
      </c>
      <c r="E111" t="s">
        <v>413</v>
      </c>
      <c r="F111" t="s">
        <v>57</v>
      </c>
      <c r="G111" t="s">
        <v>139</v>
      </c>
      <c r="H111" t="s">
        <v>57</v>
      </c>
      <c r="I111" s="2">
        <v>19490</v>
      </c>
      <c r="J111" s="2">
        <v>19490</v>
      </c>
      <c r="K111" s="2">
        <v>0</v>
      </c>
      <c r="L111" s="3">
        <v>0</v>
      </c>
      <c r="M111" t="s">
        <v>92</v>
      </c>
      <c r="N111" t="s">
        <v>53</v>
      </c>
      <c r="O111" t="s">
        <v>93</v>
      </c>
      <c r="P111" s="2">
        <v>6900</v>
      </c>
      <c r="Q111" s="3">
        <v>282.45999999999998</v>
      </c>
      <c r="R111" t="s">
        <v>94</v>
      </c>
      <c r="S111" t="s">
        <v>95</v>
      </c>
      <c r="T111" s="3">
        <v>0</v>
      </c>
      <c r="U111" s="3">
        <v>21.26</v>
      </c>
      <c r="V111" s="3">
        <v>80</v>
      </c>
      <c r="W111" s="3">
        <v>100</v>
      </c>
      <c r="X111" s="3">
        <v>45.32</v>
      </c>
      <c r="AA111">
        <v>46265</v>
      </c>
    </row>
    <row r="112" spans="1:27">
      <c r="A112" t="s">
        <v>414</v>
      </c>
      <c r="B112">
        <v>46265</v>
      </c>
      <c r="C112" t="s">
        <v>58</v>
      </c>
      <c r="D112" t="s">
        <v>415</v>
      </c>
      <c r="E112" t="s">
        <v>416</v>
      </c>
      <c r="F112" t="s">
        <v>57</v>
      </c>
      <c r="G112" t="s">
        <v>139</v>
      </c>
      <c r="H112" t="s">
        <v>57</v>
      </c>
      <c r="I112" s="2">
        <v>17990</v>
      </c>
      <c r="J112" s="2">
        <v>17990</v>
      </c>
      <c r="K112" s="2">
        <v>0</v>
      </c>
      <c r="L112" s="3">
        <v>0</v>
      </c>
      <c r="M112" t="s">
        <v>92</v>
      </c>
      <c r="N112" t="s">
        <v>53</v>
      </c>
      <c r="O112" t="s">
        <v>93</v>
      </c>
      <c r="P112" s="2">
        <v>6900</v>
      </c>
      <c r="Q112" s="3">
        <v>260.72000000000003</v>
      </c>
      <c r="R112" t="s">
        <v>94</v>
      </c>
      <c r="S112" t="s">
        <v>95</v>
      </c>
      <c r="T112" s="3">
        <v>0</v>
      </c>
      <c r="U112" s="3">
        <v>21.26</v>
      </c>
      <c r="V112" s="3">
        <v>80</v>
      </c>
      <c r="W112" s="3">
        <v>100</v>
      </c>
      <c r="X112" s="3">
        <v>45.32</v>
      </c>
      <c r="AA112">
        <v>46265</v>
      </c>
    </row>
    <row r="113" spans="1:27">
      <c r="A113" t="s">
        <v>417</v>
      </c>
      <c r="B113">
        <v>46265</v>
      </c>
      <c r="C113" t="s">
        <v>58</v>
      </c>
      <c r="D113" t="s">
        <v>406</v>
      </c>
      <c r="E113" t="s">
        <v>418</v>
      </c>
      <c r="F113" t="s">
        <v>57</v>
      </c>
      <c r="G113" t="s">
        <v>139</v>
      </c>
      <c r="H113" t="s">
        <v>57</v>
      </c>
      <c r="I113" s="2">
        <v>19490</v>
      </c>
      <c r="J113" s="2">
        <v>19490</v>
      </c>
      <c r="K113" s="2">
        <v>0</v>
      </c>
      <c r="L113" s="3">
        <v>0</v>
      </c>
      <c r="M113" t="s">
        <v>92</v>
      </c>
      <c r="N113" t="s">
        <v>53</v>
      </c>
      <c r="O113" t="s">
        <v>93</v>
      </c>
      <c r="P113" s="2">
        <v>6900</v>
      </c>
      <c r="Q113" s="3">
        <v>282.45999999999998</v>
      </c>
      <c r="R113" t="s">
        <v>94</v>
      </c>
      <c r="S113" t="s">
        <v>95</v>
      </c>
      <c r="T113" s="3">
        <v>0</v>
      </c>
      <c r="U113" s="3">
        <v>21.26</v>
      </c>
      <c r="V113" s="3">
        <v>80</v>
      </c>
      <c r="W113" s="3">
        <v>100</v>
      </c>
      <c r="X113" s="3">
        <v>45.32</v>
      </c>
      <c r="AA113">
        <v>46265</v>
      </c>
    </row>
    <row r="114" spans="1:27">
      <c r="A114" t="s">
        <v>419</v>
      </c>
      <c r="B114">
        <v>46265</v>
      </c>
      <c r="C114" t="s">
        <v>58</v>
      </c>
      <c r="D114" t="s">
        <v>406</v>
      </c>
      <c r="E114" t="s">
        <v>420</v>
      </c>
      <c r="F114" t="s">
        <v>57</v>
      </c>
      <c r="G114" t="s">
        <v>139</v>
      </c>
      <c r="H114" t="s">
        <v>57</v>
      </c>
      <c r="I114" s="2">
        <v>17990</v>
      </c>
      <c r="J114" s="2">
        <v>17990</v>
      </c>
      <c r="K114" s="2">
        <v>0</v>
      </c>
      <c r="L114" s="3">
        <v>0</v>
      </c>
      <c r="M114" t="s">
        <v>92</v>
      </c>
      <c r="N114" t="s">
        <v>53</v>
      </c>
      <c r="O114" t="s">
        <v>93</v>
      </c>
      <c r="P114" s="2">
        <v>6900</v>
      </c>
      <c r="Q114" s="3">
        <v>260.72000000000003</v>
      </c>
      <c r="R114" t="s">
        <v>94</v>
      </c>
      <c r="S114" t="s">
        <v>95</v>
      </c>
      <c r="T114" s="3">
        <v>0</v>
      </c>
      <c r="U114" s="3">
        <v>21.26</v>
      </c>
      <c r="V114" s="3">
        <v>80</v>
      </c>
      <c r="W114" s="3">
        <v>100</v>
      </c>
      <c r="X114" s="3">
        <v>45.32</v>
      </c>
      <c r="AA114">
        <v>46265</v>
      </c>
    </row>
    <row r="115" spans="1:27">
      <c r="A115" t="s">
        <v>421</v>
      </c>
      <c r="B115">
        <v>46265</v>
      </c>
      <c r="C115" t="s">
        <v>58</v>
      </c>
      <c r="D115" t="s">
        <v>406</v>
      </c>
      <c r="E115" t="s">
        <v>422</v>
      </c>
      <c r="F115" t="s">
        <v>57</v>
      </c>
      <c r="G115" t="s">
        <v>139</v>
      </c>
      <c r="H115" t="s">
        <v>57</v>
      </c>
      <c r="I115" s="2">
        <v>19490</v>
      </c>
      <c r="J115" s="2">
        <v>19490</v>
      </c>
      <c r="K115" s="2">
        <v>0</v>
      </c>
      <c r="L115" s="3">
        <v>0</v>
      </c>
      <c r="M115" t="s">
        <v>92</v>
      </c>
      <c r="N115" t="s">
        <v>53</v>
      </c>
      <c r="O115" t="s">
        <v>93</v>
      </c>
      <c r="P115" s="2">
        <v>6900</v>
      </c>
      <c r="Q115" s="3">
        <v>282.45999999999998</v>
      </c>
      <c r="R115" t="s">
        <v>94</v>
      </c>
      <c r="S115" t="s">
        <v>95</v>
      </c>
      <c r="T115" s="3">
        <v>0</v>
      </c>
      <c r="U115" s="3">
        <v>21.26</v>
      </c>
      <c r="V115" s="3">
        <v>80</v>
      </c>
      <c r="W115" s="3">
        <v>100</v>
      </c>
      <c r="X115" s="3">
        <v>45.32</v>
      </c>
      <c r="AA115">
        <v>46265</v>
      </c>
    </row>
    <row r="116" spans="1:27">
      <c r="A116" t="s">
        <v>423</v>
      </c>
      <c r="B116">
        <v>46265</v>
      </c>
      <c r="C116" t="s">
        <v>58</v>
      </c>
      <c r="D116" t="s">
        <v>406</v>
      </c>
      <c r="E116" t="s">
        <v>424</v>
      </c>
      <c r="F116" t="s">
        <v>57</v>
      </c>
      <c r="G116" t="s">
        <v>139</v>
      </c>
      <c r="H116" t="s">
        <v>57</v>
      </c>
      <c r="I116" s="2">
        <v>19490</v>
      </c>
      <c r="J116" s="2">
        <v>19490</v>
      </c>
      <c r="K116" s="2">
        <v>0</v>
      </c>
      <c r="L116" s="3">
        <v>0</v>
      </c>
      <c r="M116" t="s">
        <v>92</v>
      </c>
      <c r="N116" t="s">
        <v>53</v>
      </c>
      <c r="O116" t="s">
        <v>93</v>
      </c>
      <c r="P116" s="2">
        <v>6900</v>
      </c>
      <c r="Q116" s="3">
        <v>282.45999999999998</v>
      </c>
      <c r="R116" t="s">
        <v>94</v>
      </c>
      <c r="S116" t="s">
        <v>95</v>
      </c>
      <c r="T116" s="3">
        <v>0</v>
      </c>
      <c r="U116" s="3">
        <v>21.26</v>
      </c>
      <c r="V116" s="3">
        <v>80</v>
      </c>
      <c r="W116" s="3">
        <v>100</v>
      </c>
      <c r="X116" s="3">
        <v>45.32</v>
      </c>
      <c r="AA116">
        <v>46265</v>
      </c>
    </row>
    <row r="117" spans="1:27">
      <c r="A117" t="s">
        <v>425</v>
      </c>
      <c r="B117">
        <v>46265</v>
      </c>
      <c r="C117" t="s">
        <v>58</v>
      </c>
      <c r="D117" t="s">
        <v>415</v>
      </c>
      <c r="E117" t="s">
        <v>426</v>
      </c>
      <c r="F117" t="s">
        <v>57</v>
      </c>
      <c r="G117" t="s">
        <v>139</v>
      </c>
      <c r="H117" t="s">
        <v>57</v>
      </c>
      <c r="I117" s="2">
        <v>17990</v>
      </c>
      <c r="J117" s="2">
        <v>17990</v>
      </c>
      <c r="K117" s="2">
        <v>0</v>
      </c>
      <c r="L117" s="3">
        <v>0</v>
      </c>
      <c r="M117" t="s">
        <v>92</v>
      </c>
      <c r="N117" t="s">
        <v>53</v>
      </c>
      <c r="O117" t="s">
        <v>93</v>
      </c>
      <c r="P117" s="2">
        <v>6900</v>
      </c>
      <c r="Q117" s="3">
        <v>260.72000000000003</v>
      </c>
      <c r="R117" t="s">
        <v>94</v>
      </c>
      <c r="S117" t="s">
        <v>95</v>
      </c>
      <c r="T117" s="3">
        <v>0</v>
      </c>
      <c r="U117" s="3">
        <v>21.26</v>
      </c>
      <c r="V117" s="3">
        <v>80</v>
      </c>
      <c r="W117" s="3">
        <v>100</v>
      </c>
      <c r="X117" s="3">
        <v>45.32</v>
      </c>
      <c r="AA117">
        <v>46265</v>
      </c>
    </row>
    <row r="118" spans="1:27">
      <c r="A118" t="s">
        <v>427</v>
      </c>
      <c r="B118">
        <v>46265</v>
      </c>
      <c r="C118" t="s">
        <v>58</v>
      </c>
      <c r="D118" t="s">
        <v>406</v>
      </c>
      <c r="E118" t="s">
        <v>428</v>
      </c>
      <c r="F118" t="s">
        <v>57</v>
      </c>
      <c r="G118" t="s">
        <v>139</v>
      </c>
      <c r="H118" t="s">
        <v>57</v>
      </c>
      <c r="I118" s="2">
        <v>18790</v>
      </c>
      <c r="J118" s="2">
        <v>18790</v>
      </c>
      <c r="K118" s="2">
        <v>0</v>
      </c>
      <c r="L118" s="3">
        <v>0</v>
      </c>
      <c r="M118" t="s">
        <v>92</v>
      </c>
      <c r="N118" t="s">
        <v>53</v>
      </c>
      <c r="O118" t="s">
        <v>93</v>
      </c>
      <c r="P118" s="2">
        <v>6900</v>
      </c>
      <c r="Q118" s="3">
        <v>272.32</v>
      </c>
      <c r="R118" t="s">
        <v>94</v>
      </c>
      <c r="S118" t="s">
        <v>95</v>
      </c>
      <c r="T118" s="3">
        <v>0</v>
      </c>
      <c r="U118" s="3">
        <v>21.26</v>
      </c>
      <c r="V118" s="3">
        <v>80</v>
      </c>
      <c r="W118" s="3">
        <v>100</v>
      </c>
      <c r="X118" s="3">
        <v>45.32</v>
      </c>
      <c r="AA118">
        <v>46265</v>
      </c>
    </row>
    <row r="119" spans="1:27">
      <c r="A119" t="s">
        <v>429</v>
      </c>
      <c r="B119">
        <v>46265</v>
      </c>
      <c r="C119" t="s">
        <v>58</v>
      </c>
      <c r="D119" t="s">
        <v>406</v>
      </c>
      <c r="E119" t="s">
        <v>430</v>
      </c>
      <c r="F119" t="s">
        <v>57</v>
      </c>
      <c r="G119" t="s">
        <v>139</v>
      </c>
      <c r="H119" t="s">
        <v>57</v>
      </c>
      <c r="I119" s="2">
        <v>18790</v>
      </c>
      <c r="J119" s="2">
        <v>18790</v>
      </c>
      <c r="K119" s="2">
        <v>0</v>
      </c>
      <c r="L119" s="3">
        <v>0</v>
      </c>
      <c r="M119" t="s">
        <v>92</v>
      </c>
      <c r="N119" t="s">
        <v>53</v>
      </c>
      <c r="O119" t="s">
        <v>93</v>
      </c>
      <c r="P119" s="2">
        <v>6900</v>
      </c>
      <c r="Q119" s="3">
        <v>272.32</v>
      </c>
      <c r="R119" t="s">
        <v>94</v>
      </c>
      <c r="S119" t="s">
        <v>95</v>
      </c>
      <c r="T119" s="3">
        <v>0</v>
      </c>
      <c r="U119" s="3">
        <v>21.26</v>
      </c>
      <c r="V119" s="3">
        <v>80</v>
      </c>
      <c r="W119" s="3">
        <v>100</v>
      </c>
      <c r="X119" s="3">
        <v>45.32</v>
      </c>
      <c r="AA119">
        <v>46265</v>
      </c>
    </row>
    <row r="120" spans="1:27">
      <c r="A120" t="s">
        <v>431</v>
      </c>
      <c r="B120">
        <v>46265</v>
      </c>
      <c r="C120" t="s">
        <v>58</v>
      </c>
      <c r="D120" t="s">
        <v>415</v>
      </c>
      <c r="E120" t="s">
        <v>432</v>
      </c>
      <c r="F120" t="s">
        <v>57</v>
      </c>
      <c r="G120" t="s">
        <v>139</v>
      </c>
      <c r="H120" t="s">
        <v>57</v>
      </c>
      <c r="I120" s="2">
        <v>19490</v>
      </c>
      <c r="J120" s="2">
        <v>19490</v>
      </c>
      <c r="K120" s="2">
        <v>0</v>
      </c>
      <c r="L120" s="3">
        <v>0</v>
      </c>
      <c r="M120" t="s">
        <v>92</v>
      </c>
      <c r="N120" t="s">
        <v>53</v>
      </c>
      <c r="O120" t="s">
        <v>93</v>
      </c>
      <c r="P120" s="2">
        <v>6900</v>
      </c>
      <c r="Q120" s="3">
        <v>282.45999999999998</v>
      </c>
      <c r="R120" t="s">
        <v>94</v>
      </c>
      <c r="S120" t="s">
        <v>95</v>
      </c>
      <c r="T120" s="3">
        <v>0</v>
      </c>
      <c r="U120" s="3">
        <v>21.26</v>
      </c>
      <c r="V120" s="3">
        <v>80</v>
      </c>
      <c r="W120" s="3">
        <v>100</v>
      </c>
      <c r="X120" s="3">
        <v>45.32</v>
      </c>
      <c r="AA120">
        <v>46265</v>
      </c>
    </row>
    <row r="121" spans="1:27">
      <c r="A121" t="s">
        <v>433</v>
      </c>
      <c r="B121">
        <v>46265</v>
      </c>
      <c r="C121" t="s">
        <v>58</v>
      </c>
      <c r="D121" t="s">
        <v>434</v>
      </c>
      <c r="E121" t="s">
        <v>435</v>
      </c>
      <c r="F121" t="s">
        <v>57</v>
      </c>
      <c r="G121" t="s">
        <v>139</v>
      </c>
      <c r="H121" t="s">
        <v>57</v>
      </c>
      <c r="I121" s="2">
        <v>9990</v>
      </c>
      <c r="J121" s="2">
        <v>9990</v>
      </c>
      <c r="K121" s="2">
        <v>0</v>
      </c>
      <c r="L121" s="3">
        <v>0</v>
      </c>
      <c r="M121" t="s">
        <v>92</v>
      </c>
      <c r="N121" t="s">
        <v>52</v>
      </c>
      <c r="O121" t="s">
        <v>93</v>
      </c>
      <c r="P121" s="2">
        <v>6900</v>
      </c>
      <c r="Q121" s="3">
        <v>144.78</v>
      </c>
      <c r="R121" t="s">
        <v>94</v>
      </c>
      <c r="S121" t="s">
        <v>95</v>
      </c>
      <c r="T121" s="3">
        <v>0</v>
      </c>
      <c r="U121" s="3">
        <v>21.26</v>
      </c>
      <c r="V121" s="3">
        <v>80</v>
      </c>
      <c r="W121" s="3">
        <v>100</v>
      </c>
      <c r="X121" s="3">
        <v>45.32</v>
      </c>
      <c r="AA121">
        <v>46265</v>
      </c>
    </row>
    <row r="122" spans="1:27">
      <c r="A122" t="s">
        <v>436</v>
      </c>
      <c r="B122">
        <v>46265</v>
      </c>
      <c r="C122" t="s">
        <v>58</v>
      </c>
      <c r="D122" t="s">
        <v>434</v>
      </c>
      <c r="E122" t="s">
        <v>437</v>
      </c>
      <c r="F122" t="s">
        <v>57</v>
      </c>
      <c r="G122" t="s">
        <v>139</v>
      </c>
      <c r="H122" t="s">
        <v>57</v>
      </c>
      <c r="I122" s="2">
        <v>9990</v>
      </c>
      <c r="J122" s="2">
        <v>9990</v>
      </c>
      <c r="K122" s="2">
        <v>0</v>
      </c>
      <c r="L122" s="3">
        <v>0</v>
      </c>
      <c r="M122" t="s">
        <v>92</v>
      </c>
      <c r="N122" t="s">
        <v>52</v>
      </c>
      <c r="O122" t="s">
        <v>93</v>
      </c>
      <c r="P122" s="2">
        <v>6900</v>
      </c>
      <c r="Q122" s="3">
        <v>144.78</v>
      </c>
      <c r="R122" t="s">
        <v>94</v>
      </c>
      <c r="S122" t="s">
        <v>95</v>
      </c>
      <c r="T122" s="3">
        <v>0</v>
      </c>
      <c r="U122" s="3">
        <v>21.26</v>
      </c>
      <c r="V122" s="3">
        <v>80</v>
      </c>
      <c r="W122" s="3">
        <v>100</v>
      </c>
      <c r="X122" s="3">
        <v>45.32</v>
      </c>
      <c r="AA122">
        <v>46265</v>
      </c>
    </row>
    <row r="123" spans="1:27">
      <c r="A123" t="s">
        <v>438</v>
      </c>
      <c r="B123">
        <v>46265</v>
      </c>
      <c r="C123" t="s">
        <v>58</v>
      </c>
      <c r="D123" t="s">
        <v>406</v>
      </c>
      <c r="E123" t="s">
        <v>439</v>
      </c>
      <c r="F123" t="s">
        <v>57</v>
      </c>
      <c r="G123" t="s">
        <v>139</v>
      </c>
      <c r="H123" t="s">
        <v>57</v>
      </c>
      <c r="I123" s="2">
        <v>10490</v>
      </c>
      <c r="J123" s="2">
        <v>10490</v>
      </c>
      <c r="K123" s="2">
        <v>0</v>
      </c>
      <c r="L123" s="3">
        <v>0</v>
      </c>
      <c r="M123" t="s">
        <v>92</v>
      </c>
      <c r="N123" t="s">
        <v>52</v>
      </c>
      <c r="O123" t="s">
        <v>93</v>
      </c>
      <c r="P123" s="2">
        <v>6900</v>
      </c>
      <c r="Q123" s="3">
        <v>152.03</v>
      </c>
      <c r="R123" t="s">
        <v>94</v>
      </c>
      <c r="S123" t="s">
        <v>95</v>
      </c>
      <c r="T123" s="3">
        <v>0</v>
      </c>
      <c r="U123" s="3">
        <v>21.26</v>
      </c>
      <c r="V123" s="3">
        <v>80</v>
      </c>
      <c r="W123" s="3">
        <v>100</v>
      </c>
      <c r="X123" s="3">
        <v>45.32</v>
      </c>
      <c r="AA123">
        <v>46265</v>
      </c>
    </row>
    <row r="124" spans="1:27">
      <c r="A124" t="s">
        <v>440</v>
      </c>
      <c r="B124">
        <v>46265</v>
      </c>
      <c r="C124" t="s">
        <v>58</v>
      </c>
      <c r="D124" t="s">
        <v>406</v>
      </c>
      <c r="E124" t="s">
        <v>441</v>
      </c>
      <c r="F124" t="s">
        <v>57</v>
      </c>
      <c r="G124" t="s">
        <v>139</v>
      </c>
      <c r="H124" t="s">
        <v>57</v>
      </c>
      <c r="I124" s="2">
        <v>10490</v>
      </c>
      <c r="J124" s="2">
        <v>10490</v>
      </c>
      <c r="K124" s="2">
        <v>0</v>
      </c>
      <c r="L124" s="3">
        <v>0</v>
      </c>
      <c r="M124" t="s">
        <v>92</v>
      </c>
      <c r="N124" t="s">
        <v>52</v>
      </c>
      <c r="O124" t="s">
        <v>93</v>
      </c>
      <c r="P124" s="2">
        <v>6900</v>
      </c>
      <c r="Q124" s="3">
        <v>152.03</v>
      </c>
      <c r="R124" t="s">
        <v>94</v>
      </c>
      <c r="S124" t="s">
        <v>95</v>
      </c>
      <c r="T124" s="3">
        <v>0</v>
      </c>
      <c r="U124" s="3">
        <v>21.26</v>
      </c>
      <c r="V124" s="3">
        <v>80</v>
      </c>
      <c r="W124" s="3">
        <v>100</v>
      </c>
      <c r="X124" s="3">
        <v>45.32</v>
      </c>
      <c r="AA124">
        <v>46265</v>
      </c>
    </row>
    <row r="125" spans="1:27">
      <c r="A125" t="s">
        <v>442</v>
      </c>
      <c r="B125">
        <v>46265</v>
      </c>
      <c r="C125" t="s">
        <v>58</v>
      </c>
      <c r="D125" t="s">
        <v>406</v>
      </c>
      <c r="E125" t="s">
        <v>443</v>
      </c>
      <c r="F125" t="s">
        <v>57</v>
      </c>
      <c r="G125" t="s">
        <v>139</v>
      </c>
      <c r="H125" t="s">
        <v>57</v>
      </c>
      <c r="I125" s="2">
        <v>10490</v>
      </c>
      <c r="J125" s="2">
        <v>10490</v>
      </c>
      <c r="K125" s="2">
        <v>0</v>
      </c>
      <c r="L125" s="3">
        <v>0</v>
      </c>
      <c r="M125" t="s">
        <v>92</v>
      </c>
      <c r="N125" t="s">
        <v>52</v>
      </c>
      <c r="O125" t="s">
        <v>93</v>
      </c>
      <c r="P125" s="2">
        <v>6900</v>
      </c>
      <c r="Q125" s="3">
        <v>152.03</v>
      </c>
      <c r="R125" t="s">
        <v>94</v>
      </c>
      <c r="S125" t="s">
        <v>95</v>
      </c>
      <c r="T125" s="3">
        <v>0</v>
      </c>
      <c r="U125" s="3">
        <v>21.26</v>
      </c>
      <c r="V125" s="3">
        <v>80</v>
      </c>
      <c r="W125" s="3">
        <v>100</v>
      </c>
      <c r="X125" s="3">
        <v>45.32</v>
      </c>
      <c r="AA125">
        <v>46265</v>
      </c>
    </row>
    <row r="126" spans="1:27">
      <c r="A126" t="s">
        <v>444</v>
      </c>
      <c r="B126">
        <v>46265</v>
      </c>
      <c r="C126" t="s">
        <v>58</v>
      </c>
      <c r="D126" t="s">
        <v>406</v>
      </c>
      <c r="E126" t="s">
        <v>445</v>
      </c>
      <c r="F126" t="s">
        <v>57</v>
      </c>
      <c r="G126" t="s">
        <v>139</v>
      </c>
      <c r="H126" t="s">
        <v>57</v>
      </c>
      <c r="I126" s="2">
        <v>10990</v>
      </c>
      <c r="J126" s="2">
        <v>10990</v>
      </c>
      <c r="K126" s="2">
        <v>0</v>
      </c>
      <c r="L126" s="3">
        <v>0</v>
      </c>
      <c r="M126" t="s">
        <v>92</v>
      </c>
      <c r="N126" t="s">
        <v>52</v>
      </c>
      <c r="O126" t="s">
        <v>93</v>
      </c>
      <c r="P126" s="2">
        <v>6900</v>
      </c>
      <c r="Q126" s="3">
        <v>159.28</v>
      </c>
      <c r="R126" t="s">
        <v>94</v>
      </c>
      <c r="S126" t="s">
        <v>95</v>
      </c>
      <c r="T126" s="3">
        <v>0</v>
      </c>
      <c r="U126" s="3">
        <v>21.26</v>
      </c>
      <c r="V126" s="3">
        <v>80</v>
      </c>
      <c r="W126" s="3">
        <v>100</v>
      </c>
      <c r="X126" s="3">
        <v>45.32</v>
      </c>
      <c r="AA126">
        <v>46265</v>
      </c>
    </row>
    <row r="127" spans="1:27">
      <c r="A127" t="s">
        <v>446</v>
      </c>
      <c r="B127">
        <v>46265</v>
      </c>
      <c r="C127" t="s">
        <v>58</v>
      </c>
      <c r="D127" t="s">
        <v>447</v>
      </c>
      <c r="E127" t="s">
        <v>448</v>
      </c>
      <c r="F127" t="s">
        <v>65</v>
      </c>
      <c r="G127" t="s">
        <v>139</v>
      </c>
      <c r="H127" t="s">
        <v>65</v>
      </c>
      <c r="I127" s="2">
        <v>12990</v>
      </c>
      <c r="J127" s="2">
        <v>11691</v>
      </c>
      <c r="K127" s="2">
        <v>1299</v>
      </c>
      <c r="L127" s="3">
        <v>10</v>
      </c>
      <c r="M127" t="s">
        <v>336</v>
      </c>
      <c r="N127" t="s">
        <v>52</v>
      </c>
      <c r="O127" t="s">
        <v>449</v>
      </c>
      <c r="P127" s="2">
        <v>22491</v>
      </c>
      <c r="Q127" s="3">
        <v>51.98</v>
      </c>
      <c r="R127" t="s">
        <v>94</v>
      </c>
      <c r="S127" t="s">
        <v>95</v>
      </c>
      <c r="T127" s="3">
        <v>0</v>
      </c>
      <c r="U127" s="3">
        <v>21.26</v>
      </c>
      <c r="V127" s="3">
        <v>80</v>
      </c>
      <c r="W127" s="3">
        <v>100</v>
      </c>
      <c r="X127" s="3">
        <v>45.32</v>
      </c>
      <c r="AA127">
        <v>46265</v>
      </c>
    </row>
    <row r="128" spans="1:27">
      <c r="A128" t="s">
        <v>450</v>
      </c>
      <c r="B128">
        <v>46265</v>
      </c>
      <c r="C128" t="s">
        <v>58</v>
      </c>
      <c r="D128" t="s">
        <v>451</v>
      </c>
      <c r="E128" t="s">
        <v>452</v>
      </c>
      <c r="F128" t="s">
        <v>65</v>
      </c>
      <c r="G128" t="s">
        <v>139</v>
      </c>
      <c r="H128" t="s">
        <v>65</v>
      </c>
      <c r="I128" s="2">
        <v>25990</v>
      </c>
      <c r="J128" s="2">
        <v>23391</v>
      </c>
      <c r="K128" s="2">
        <v>2599</v>
      </c>
      <c r="L128" s="3">
        <v>10</v>
      </c>
      <c r="M128" t="s">
        <v>336</v>
      </c>
      <c r="N128" t="s">
        <v>53</v>
      </c>
      <c r="O128" t="s">
        <v>449</v>
      </c>
      <c r="P128" s="2">
        <v>22491</v>
      </c>
      <c r="Q128" s="3">
        <v>104</v>
      </c>
      <c r="R128" t="s">
        <v>94</v>
      </c>
      <c r="S128" t="s">
        <v>95</v>
      </c>
      <c r="T128" s="3">
        <v>0</v>
      </c>
      <c r="U128" s="3">
        <v>21.26</v>
      </c>
      <c r="V128" s="3">
        <v>80</v>
      </c>
      <c r="W128" s="3">
        <v>100</v>
      </c>
      <c r="X128" s="3">
        <v>45.32</v>
      </c>
      <c r="AA128">
        <v>46265</v>
      </c>
    </row>
    <row r="129" spans="1:27">
      <c r="A129" t="s">
        <v>453</v>
      </c>
      <c r="B129">
        <v>46265</v>
      </c>
      <c r="C129" t="s">
        <v>58</v>
      </c>
      <c r="D129" t="s">
        <v>451</v>
      </c>
      <c r="E129" t="s">
        <v>454</v>
      </c>
      <c r="F129" t="s">
        <v>65</v>
      </c>
      <c r="G129" t="s">
        <v>139</v>
      </c>
      <c r="H129" t="s">
        <v>65</v>
      </c>
      <c r="I129" s="2">
        <v>24990</v>
      </c>
      <c r="J129" s="2">
        <v>22491</v>
      </c>
      <c r="K129" s="2">
        <v>2499</v>
      </c>
      <c r="L129" s="3">
        <v>10</v>
      </c>
      <c r="M129" t="s">
        <v>336</v>
      </c>
      <c r="N129" t="s">
        <v>53</v>
      </c>
      <c r="O129" t="s">
        <v>449</v>
      </c>
      <c r="P129" s="2">
        <v>22491</v>
      </c>
      <c r="Q129" s="3">
        <v>100</v>
      </c>
      <c r="R129" t="s">
        <v>94</v>
      </c>
      <c r="S129" t="s">
        <v>95</v>
      </c>
      <c r="T129" s="3">
        <v>0</v>
      </c>
      <c r="U129" s="3">
        <v>21.26</v>
      </c>
      <c r="V129" s="3">
        <v>80</v>
      </c>
      <c r="W129" s="3">
        <v>100</v>
      </c>
      <c r="X129" s="3">
        <v>45.32</v>
      </c>
      <c r="AA129">
        <v>46265</v>
      </c>
    </row>
    <row r="130" spans="1:27">
      <c r="A130" t="s">
        <v>455</v>
      </c>
      <c r="B130">
        <v>46265</v>
      </c>
      <c r="C130" t="s">
        <v>58</v>
      </c>
      <c r="D130" t="s">
        <v>456</v>
      </c>
      <c r="E130" t="s">
        <v>457</v>
      </c>
      <c r="F130" t="s">
        <v>65</v>
      </c>
      <c r="G130" t="s">
        <v>126</v>
      </c>
      <c r="H130" t="s">
        <v>65</v>
      </c>
      <c r="I130" s="2">
        <v>24990</v>
      </c>
      <c r="J130" s="2">
        <v>22491</v>
      </c>
      <c r="K130" s="2">
        <v>2499</v>
      </c>
      <c r="L130" s="3">
        <v>10</v>
      </c>
      <c r="M130" t="s">
        <v>336</v>
      </c>
      <c r="N130" t="s">
        <v>53</v>
      </c>
      <c r="O130" t="s">
        <v>449</v>
      </c>
      <c r="P130" s="2">
        <v>22491</v>
      </c>
      <c r="Q130" s="3">
        <v>100</v>
      </c>
      <c r="R130" t="s">
        <v>94</v>
      </c>
      <c r="S130" t="s">
        <v>95</v>
      </c>
      <c r="T130" s="3">
        <v>0</v>
      </c>
      <c r="U130" s="3">
        <v>21.26</v>
      </c>
      <c r="V130" s="3">
        <v>80</v>
      </c>
      <c r="W130" s="3">
        <v>100</v>
      </c>
      <c r="X130" s="3">
        <v>45.32</v>
      </c>
      <c r="AA130">
        <v>46265</v>
      </c>
    </row>
    <row r="131" spans="1:27">
      <c r="A131" t="s">
        <v>458</v>
      </c>
      <c r="B131">
        <v>46265</v>
      </c>
      <c r="C131" t="s">
        <v>58</v>
      </c>
      <c r="D131" t="s">
        <v>459</v>
      </c>
      <c r="E131" t="s">
        <v>460</v>
      </c>
      <c r="F131" t="s">
        <v>65</v>
      </c>
      <c r="G131" t="s">
        <v>139</v>
      </c>
      <c r="H131" t="s">
        <v>65</v>
      </c>
      <c r="I131" s="2">
        <v>24990</v>
      </c>
      <c r="J131" s="2">
        <v>22491</v>
      </c>
      <c r="K131" s="2">
        <v>2499</v>
      </c>
      <c r="L131" s="3">
        <v>10</v>
      </c>
      <c r="M131" t="s">
        <v>336</v>
      </c>
      <c r="N131" t="s">
        <v>53</v>
      </c>
      <c r="O131" t="s">
        <v>449</v>
      </c>
      <c r="P131" s="2">
        <v>22491</v>
      </c>
      <c r="Q131" s="3">
        <v>100</v>
      </c>
      <c r="R131" t="s">
        <v>94</v>
      </c>
      <c r="S131" t="s">
        <v>95</v>
      </c>
      <c r="T131" s="3">
        <v>0</v>
      </c>
      <c r="U131" s="3">
        <v>21.26</v>
      </c>
      <c r="V131" s="3">
        <v>80</v>
      </c>
      <c r="W131" s="3">
        <v>100</v>
      </c>
      <c r="X131" s="3">
        <v>45.32</v>
      </c>
      <c r="AA131">
        <v>46265</v>
      </c>
    </row>
    <row r="132" spans="1:27">
      <c r="A132" t="s">
        <v>461</v>
      </c>
      <c r="B132">
        <v>46265</v>
      </c>
      <c r="C132" t="s">
        <v>58</v>
      </c>
      <c r="D132" t="s">
        <v>456</v>
      </c>
      <c r="E132" t="s">
        <v>462</v>
      </c>
      <c r="F132" t="s">
        <v>65</v>
      </c>
      <c r="G132" t="s">
        <v>126</v>
      </c>
      <c r="H132" t="s">
        <v>65</v>
      </c>
      <c r="I132" s="2">
        <v>23990</v>
      </c>
      <c r="J132" s="2">
        <v>21591</v>
      </c>
      <c r="K132" s="2">
        <v>2399</v>
      </c>
      <c r="L132" s="3">
        <v>10</v>
      </c>
      <c r="M132" t="s">
        <v>336</v>
      </c>
      <c r="N132" t="s">
        <v>53</v>
      </c>
      <c r="O132" t="s">
        <v>449</v>
      </c>
      <c r="P132" s="2">
        <v>22491</v>
      </c>
      <c r="Q132" s="3">
        <v>96</v>
      </c>
      <c r="R132" t="s">
        <v>94</v>
      </c>
      <c r="S132" t="s">
        <v>95</v>
      </c>
      <c r="T132" s="3">
        <v>0</v>
      </c>
      <c r="U132" s="3">
        <v>21.26</v>
      </c>
      <c r="V132" s="3">
        <v>80</v>
      </c>
      <c r="W132" s="3">
        <v>100</v>
      </c>
      <c r="X132" s="3">
        <v>45.32</v>
      </c>
      <c r="AA132">
        <v>46265</v>
      </c>
    </row>
    <row r="133" spans="1:27">
      <c r="A133" t="s">
        <v>463</v>
      </c>
      <c r="B133">
        <v>46265</v>
      </c>
      <c r="C133" t="s">
        <v>58</v>
      </c>
      <c r="D133" t="s">
        <v>456</v>
      </c>
      <c r="E133" t="s">
        <v>464</v>
      </c>
      <c r="F133" t="s">
        <v>65</v>
      </c>
      <c r="G133" t="s">
        <v>126</v>
      </c>
      <c r="H133" t="s">
        <v>65</v>
      </c>
      <c r="I133" s="2">
        <v>21990</v>
      </c>
      <c r="J133" s="2">
        <v>19791</v>
      </c>
      <c r="K133" s="2">
        <v>2199</v>
      </c>
      <c r="L133" s="3">
        <v>10</v>
      </c>
      <c r="M133" t="s">
        <v>336</v>
      </c>
      <c r="N133" t="s">
        <v>53</v>
      </c>
      <c r="O133" t="s">
        <v>449</v>
      </c>
      <c r="P133" s="2">
        <v>22491</v>
      </c>
      <c r="Q133" s="3">
        <v>88</v>
      </c>
      <c r="R133" t="s">
        <v>94</v>
      </c>
      <c r="S133" t="s">
        <v>95</v>
      </c>
      <c r="T133" s="3">
        <v>0</v>
      </c>
      <c r="U133" s="3">
        <v>21.26</v>
      </c>
      <c r="V133" s="3">
        <v>80</v>
      </c>
      <c r="W133" s="3">
        <v>100</v>
      </c>
      <c r="X133" s="3">
        <v>45.32</v>
      </c>
      <c r="AA133">
        <v>46265</v>
      </c>
    </row>
    <row r="134" spans="1:27">
      <c r="A134" t="s">
        <v>465</v>
      </c>
      <c r="B134">
        <v>46265</v>
      </c>
      <c r="C134" t="s">
        <v>58</v>
      </c>
      <c r="D134" t="s">
        <v>466</v>
      </c>
      <c r="E134" t="s">
        <v>467</v>
      </c>
      <c r="F134" t="s">
        <v>65</v>
      </c>
      <c r="G134" t="s">
        <v>126</v>
      </c>
      <c r="H134" t="s">
        <v>65</v>
      </c>
      <c r="I134" s="2">
        <v>20990</v>
      </c>
      <c r="J134" s="2">
        <v>18891</v>
      </c>
      <c r="K134" s="2">
        <v>2099</v>
      </c>
      <c r="L134" s="3">
        <v>10</v>
      </c>
      <c r="M134" t="s">
        <v>336</v>
      </c>
      <c r="N134" t="s">
        <v>53</v>
      </c>
      <c r="O134" t="s">
        <v>449</v>
      </c>
      <c r="P134" s="2">
        <v>22491</v>
      </c>
      <c r="Q134" s="3">
        <v>83.99</v>
      </c>
      <c r="R134" t="s">
        <v>94</v>
      </c>
      <c r="S134" t="s">
        <v>95</v>
      </c>
      <c r="T134" s="3">
        <v>0</v>
      </c>
      <c r="U134" s="3">
        <v>21.26</v>
      </c>
      <c r="V134" s="3">
        <v>80</v>
      </c>
      <c r="W134" s="3">
        <v>100</v>
      </c>
      <c r="X134" s="3">
        <v>45.32</v>
      </c>
      <c r="AA134">
        <v>46265</v>
      </c>
    </row>
    <row r="135" spans="1:27">
      <c r="A135" t="s">
        <v>468</v>
      </c>
      <c r="B135">
        <v>46265</v>
      </c>
      <c r="C135" t="s">
        <v>58</v>
      </c>
      <c r="D135" t="s">
        <v>469</v>
      </c>
      <c r="E135" t="s">
        <v>470</v>
      </c>
      <c r="F135" t="s">
        <v>65</v>
      </c>
      <c r="G135" t="s">
        <v>139</v>
      </c>
      <c r="H135" t="s">
        <v>65</v>
      </c>
      <c r="I135" s="2">
        <v>14990</v>
      </c>
      <c r="J135" s="2">
        <v>13491</v>
      </c>
      <c r="K135" s="2">
        <v>1499</v>
      </c>
      <c r="L135" s="3">
        <v>10</v>
      </c>
      <c r="M135" t="s">
        <v>336</v>
      </c>
      <c r="N135" t="s">
        <v>52</v>
      </c>
      <c r="O135" t="s">
        <v>449</v>
      </c>
      <c r="P135" s="2">
        <v>22491</v>
      </c>
      <c r="Q135" s="3">
        <v>59.98</v>
      </c>
      <c r="R135" t="s">
        <v>94</v>
      </c>
      <c r="S135" t="s">
        <v>95</v>
      </c>
      <c r="T135" s="3">
        <v>0</v>
      </c>
      <c r="U135" s="3">
        <v>21.26</v>
      </c>
      <c r="V135" s="3">
        <v>80</v>
      </c>
      <c r="W135" s="3">
        <v>100</v>
      </c>
      <c r="X135" s="3">
        <v>45.32</v>
      </c>
      <c r="AA135">
        <v>46265</v>
      </c>
    </row>
    <row r="136" spans="1:27">
      <c r="A136" t="s">
        <v>471</v>
      </c>
      <c r="B136">
        <v>46265</v>
      </c>
      <c r="C136" t="s">
        <v>58</v>
      </c>
      <c r="D136" t="s">
        <v>469</v>
      </c>
      <c r="E136" t="s">
        <v>472</v>
      </c>
      <c r="F136" t="s">
        <v>65</v>
      </c>
      <c r="G136" t="s">
        <v>139</v>
      </c>
      <c r="H136" t="s">
        <v>65</v>
      </c>
      <c r="I136" s="2">
        <v>14990</v>
      </c>
      <c r="J136" s="2">
        <v>13491</v>
      </c>
      <c r="K136" s="2">
        <v>1499</v>
      </c>
      <c r="L136" s="3">
        <v>10</v>
      </c>
      <c r="M136" t="s">
        <v>336</v>
      </c>
      <c r="N136" t="s">
        <v>52</v>
      </c>
      <c r="O136" t="s">
        <v>449</v>
      </c>
      <c r="P136" s="2">
        <v>22491</v>
      </c>
      <c r="Q136" s="3">
        <v>59.98</v>
      </c>
      <c r="R136" t="s">
        <v>94</v>
      </c>
      <c r="S136" t="s">
        <v>95</v>
      </c>
      <c r="T136" s="3">
        <v>0</v>
      </c>
      <c r="U136" s="3">
        <v>21.26</v>
      </c>
      <c r="V136" s="3">
        <v>80</v>
      </c>
      <c r="W136" s="3">
        <v>100</v>
      </c>
      <c r="X136" s="3">
        <v>45.32</v>
      </c>
      <c r="AA136">
        <v>46265</v>
      </c>
    </row>
    <row r="137" spans="1:27">
      <c r="A137" t="s">
        <v>473</v>
      </c>
      <c r="B137">
        <v>46265</v>
      </c>
      <c r="C137" t="s">
        <v>58</v>
      </c>
      <c r="D137" t="s">
        <v>469</v>
      </c>
      <c r="E137" t="s">
        <v>474</v>
      </c>
      <c r="F137" t="s">
        <v>65</v>
      </c>
      <c r="G137" t="s">
        <v>139</v>
      </c>
      <c r="H137" t="s">
        <v>65</v>
      </c>
      <c r="I137" s="2">
        <v>14990</v>
      </c>
      <c r="J137" s="2">
        <v>13491</v>
      </c>
      <c r="K137" s="2">
        <v>1499</v>
      </c>
      <c r="L137" s="3">
        <v>10</v>
      </c>
      <c r="M137" t="s">
        <v>336</v>
      </c>
      <c r="N137" t="s">
        <v>52</v>
      </c>
      <c r="O137" t="s">
        <v>449</v>
      </c>
      <c r="P137" s="2">
        <v>22491</v>
      </c>
      <c r="Q137" s="3">
        <v>59.98</v>
      </c>
      <c r="R137" t="s">
        <v>94</v>
      </c>
      <c r="S137" t="s">
        <v>95</v>
      </c>
      <c r="T137" s="3">
        <v>0</v>
      </c>
      <c r="U137" s="3">
        <v>21.26</v>
      </c>
      <c r="V137" s="3">
        <v>80</v>
      </c>
      <c r="W137" s="3">
        <v>100</v>
      </c>
      <c r="X137" s="3">
        <v>45.32</v>
      </c>
      <c r="AA137">
        <v>46265</v>
      </c>
    </row>
    <row r="138" spans="1:27">
      <c r="A138" t="s">
        <v>475</v>
      </c>
      <c r="B138">
        <v>46265</v>
      </c>
      <c r="C138" t="s">
        <v>58</v>
      </c>
      <c r="D138" t="s">
        <v>469</v>
      </c>
      <c r="E138" t="s">
        <v>476</v>
      </c>
      <c r="F138" t="s">
        <v>65</v>
      </c>
      <c r="G138" t="s">
        <v>139</v>
      </c>
      <c r="H138" t="s">
        <v>65</v>
      </c>
      <c r="I138" s="2">
        <v>11990</v>
      </c>
      <c r="J138" s="2">
        <v>10791</v>
      </c>
      <c r="K138" s="2">
        <v>1199</v>
      </c>
      <c r="L138" s="3">
        <v>10</v>
      </c>
      <c r="M138" t="s">
        <v>336</v>
      </c>
      <c r="N138" t="s">
        <v>52</v>
      </c>
      <c r="O138" t="s">
        <v>449</v>
      </c>
      <c r="P138" s="2">
        <v>22491</v>
      </c>
      <c r="Q138" s="3">
        <v>47.98</v>
      </c>
      <c r="R138" t="s">
        <v>94</v>
      </c>
      <c r="S138" t="s">
        <v>95</v>
      </c>
      <c r="T138" s="3">
        <v>0</v>
      </c>
      <c r="U138" s="3">
        <v>21.26</v>
      </c>
      <c r="V138" s="3">
        <v>80</v>
      </c>
      <c r="W138" s="3">
        <v>100</v>
      </c>
      <c r="X138" s="3">
        <v>45.32</v>
      </c>
      <c r="AA138">
        <v>46265</v>
      </c>
    </row>
    <row r="139" spans="1:27">
      <c r="A139" t="s">
        <v>477</v>
      </c>
      <c r="B139">
        <v>46265</v>
      </c>
      <c r="C139" t="s">
        <v>58</v>
      </c>
      <c r="D139" t="s">
        <v>447</v>
      </c>
      <c r="E139" t="s">
        <v>478</v>
      </c>
      <c r="F139" t="s">
        <v>65</v>
      </c>
      <c r="G139" t="s">
        <v>139</v>
      </c>
      <c r="H139" t="s">
        <v>65</v>
      </c>
      <c r="I139" s="2">
        <v>21990</v>
      </c>
      <c r="J139" s="2">
        <v>19791</v>
      </c>
      <c r="K139" s="2">
        <v>2199</v>
      </c>
      <c r="L139" s="3">
        <v>10</v>
      </c>
      <c r="M139" t="s">
        <v>336</v>
      </c>
      <c r="N139" t="s">
        <v>53</v>
      </c>
      <c r="O139" t="s">
        <v>449</v>
      </c>
      <c r="P139" s="2">
        <v>22491</v>
      </c>
      <c r="Q139" s="3">
        <v>88</v>
      </c>
      <c r="R139" t="s">
        <v>94</v>
      </c>
      <c r="S139" t="s">
        <v>95</v>
      </c>
      <c r="T139" s="3">
        <v>0</v>
      </c>
      <c r="U139" s="3">
        <v>21.26</v>
      </c>
      <c r="V139" s="3">
        <v>80</v>
      </c>
      <c r="W139" s="3">
        <v>100</v>
      </c>
      <c r="X139" s="3">
        <v>45.32</v>
      </c>
      <c r="AA139">
        <v>46265</v>
      </c>
    </row>
    <row r="140" spans="1:27">
      <c r="A140" t="s">
        <v>479</v>
      </c>
      <c r="B140">
        <v>46265</v>
      </c>
      <c r="C140" t="s">
        <v>58</v>
      </c>
      <c r="D140" t="s">
        <v>456</v>
      </c>
      <c r="E140" t="s">
        <v>480</v>
      </c>
      <c r="F140" t="s">
        <v>65</v>
      </c>
      <c r="G140" t="s">
        <v>126</v>
      </c>
      <c r="H140" t="s">
        <v>65</v>
      </c>
      <c r="I140" s="2">
        <v>23990</v>
      </c>
      <c r="J140" s="2">
        <v>21591</v>
      </c>
      <c r="K140" s="2">
        <v>2399</v>
      </c>
      <c r="L140" s="3">
        <v>10</v>
      </c>
      <c r="M140" t="s">
        <v>336</v>
      </c>
      <c r="N140" t="s">
        <v>53</v>
      </c>
      <c r="O140" t="s">
        <v>449</v>
      </c>
      <c r="P140" s="2">
        <v>22491</v>
      </c>
      <c r="Q140" s="3">
        <v>96</v>
      </c>
      <c r="R140" t="s">
        <v>94</v>
      </c>
      <c r="S140" t="s">
        <v>95</v>
      </c>
      <c r="T140" s="3">
        <v>0</v>
      </c>
      <c r="U140" s="3">
        <v>21.26</v>
      </c>
      <c r="V140" s="3">
        <v>80</v>
      </c>
      <c r="W140" s="3">
        <v>100</v>
      </c>
      <c r="X140" s="3">
        <v>45.32</v>
      </c>
      <c r="AA140">
        <v>46265</v>
      </c>
    </row>
    <row r="141" spans="1:27">
      <c r="A141" t="s">
        <v>481</v>
      </c>
      <c r="B141">
        <v>46265</v>
      </c>
      <c r="C141" t="s">
        <v>58</v>
      </c>
      <c r="D141" t="s">
        <v>456</v>
      </c>
      <c r="E141" t="s">
        <v>482</v>
      </c>
      <c r="F141" t="s">
        <v>65</v>
      </c>
      <c r="G141" t="s">
        <v>126</v>
      </c>
      <c r="H141" t="s">
        <v>65</v>
      </c>
      <c r="I141" s="2">
        <v>23990</v>
      </c>
      <c r="J141" s="2">
        <v>21591</v>
      </c>
      <c r="K141" s="2">
        <v>2399</v>
      </c>
      <c r="L141" s="3">
        <v>10</v>
      </c>
      <c r="M141" t="s">
        <v>336</v>
      </c>
      <c r="N141" t="s">
        <v>53</v>
      </c>
      <c r="O141" t="s">
        <v>449</v>
      </c>
      <c r="P141" s="2">
        <v>22491</v>
      </c>
      <c r="Q141" s="3">
        <v>96</v>
      </c>
      <c r="R141" t="s">
        <v>94</v>
      </c>
      <c r="S141" t="s">
        <v>95</v>
      </c>
      <c r="T141" s="3">
        <v>0</v>
      </c>
      <c r="U141" s="3">
        <v>21.26</v>
      </c>
      <c r="V141" s="3">
        <v>80</v>
      </c>
      <c r="W141" s="3">
        <v>100</v>
      </c>
      <c r="X141" s="3">
        <v>45.32</v>
      </c>
      <c r="AA141">
        <v>46265</v>
      </c>
    </row>
    <row r="142" spans="1:27">
      <c r="A142" t="s">
        <v>483</v>
      </c>
      <c r="B142">
        <v>46265</v>
      </c>
      <c r="C142" t="s">
        <v>58</v>
      </c>
      <c r="D142" t="s">
        <v>447</v>
      </c>
      <c r="E142" t="s">
        <v>484</v>
      </c>
      <c r="F142" t="s">
        <v>65</v>
      </c>
      <c r="G142" t="s">
        <v>139</v>
      </c>
      <c r="H142" t="s">
        <v>65</v>
      </c>
      <c r="I142" s="2">
        <v>29990</v>
      </c>
      <c r="J142" s="2">
        <v>29990</v>
      </c>
      <c r="K142" s="2">
        <v>0</v>
      </c>
      <c r="L142" s="3">
        <v>0</v>
      </c>
      <c r="M142" t="s">
        <v>92</v>
      </c>
      <c r="N142" t="s">
        <v>53</v>
      </c>
      <c r="O142" t="s">
        <v>93</v>
      </c>
      <c r="P142" s="2">
        <v>22491</v>
      </c>
      <c r="Q142" s="3">
        <v>133.34</v>
      </c>
      <c r="R142" t="s">
        <v>94</v>
      </c>
      <c r="S142" t="s">
        <v>95</v>
      </c>
      <c r="T142" s="3">
        <v>0</v>
      </c>
      <c r="U142" s="3">
        <v>21.26</v>
      </c>
      <c r="V142" s="3">
        <v>80</v>
      </c>
      <c r="W142" s="3">
        <v>100</v>
      </c>
      <c r="X142" s="3">
        <v>45.32</v>
      </c>
      <c r="AA142">
        <v>46265</v>
      </c>
    </row>
    <row r="143" spans="1:27">
      <c r="A143" t="s">
        <v>485</v>
      </c>
      <c r="B143">
        <v>46265</v>
      </c>
      <c r="C143" t="s">
        <v>58</v>
      </c>
      <c r="D143" t="s">
        <v>447</v>
      </c>
      <c r="E143" t="s">
        <v>486</v>
      </c>
      <c r="F143" t="s">
        <v>65</v>
      </c>
      <c r="G143" t="s">
        <v>139</v>
      </c>
      <c r="H143" t="s">
        <v>65</v>
      </c>
      <c r="I143" s="2">
        <v>30790</v>
      </c>
      <c r="J143" s="2">
        <v>30790</v>
      </c>
      <c r="K143" s="2">
        <v>0</v>
      </c>
      <c r="L143" s="3">
        <v>0</v>
      </c>
      <c r="M143" t="s">
        <v>92</v>
      </c>
      <c r="N143" t="s">
        <v>54</v>
      </c>
      <c r="O143" t="s">
        <v>93</v>
      </c>
      <c r="P143" s="2">
        <v>22491</v>
      </c>
      <c r="Q143" s="3">
        <v>136.9</v>
      </c>
      <c r="R143" t="s">
        <v>94</v>
      </c>
      <c r="S143" t="s">
        <v>95</v>
      </c>
      <c r="T143" s="3">
        <v>0</v>
      </c>
      <c r="U143" s="3">
        <v>21.26</v>
      </c>
      <c r="V143" s="3">
        <v>80</v>
      </c>
      <c r="W143" s="3">
        <v>100</v>
      </c>
      <c r="X143" s="3">
        <v>45.32</v>
      </c>
      <c r="AA143">
        <v>46265</v>
      </c>
    </row>
    <row r="144" spans="1:27">
      <c r="A144" t="s">
        <v>487</v>
      </c>
      <c r="B144">
        <v>46265</v>
      </c>
      <c r="C144" t="s">
        <v>58</v>
      </c>
      <c r="D144" t="s">
        <v>447</v>
      </c>
      <c r="E144" t="s">
        <v>488</v>
      </c>
      <c r="F144" t="s">
        <v>65</v>
      </c>
      <c r="G144" t="s">
        <v>139</v>
      </c>
      <c r="H144" t="s">
        <v>65</v>
      </c>
      <c r="I144" s="2">
        <v>30790</v>
      </c>
      <c r="J144" s="2">
        <v>30790</v>
      </c>
      <c r="K144" s="2">
        <v>0</v>
      </c>
      <c r="L144" s="3">
        <v>0</v>
      </c>
      <c r="M144" t="s">
        <v>92</v>
      </c>
      <c r="N144" t="s">
        <v>54</v>
      </c>
      <c r="O144" t="s">
        <v>93</v>
      </c>
      <c r="P144" s="2">
        <v>22491</v>
      </c>
      <c r="Q144" s="3">
        <v>136.9</v>
      </c>
      <c r="R144" t="s">
        <v>94</v>
      </c>
      <c r="S144" t="s">
        <v>95</v>
      </c>
      <c r="T144" s="3">
        <v>0</v>
      </c>
      <c r="U144" s="3">
        <v>21.26</v>
      </c>
      <c r="V144" s="3">
        <v>80</v>
      </c>
      <c r="W144" s="3">
        <v>100</v>
      </c>
      <c r="X144" s="3">
        <v>45.32</v>
      </c>
      <c r="AA144">
        <v>46265</v>
      </c>
    </row>
    <row r="145" spans="1:27">
      <c r="A145" t="s">
        <v>489</v>
      </c>
      <c r="B145">
        <v>46265</v>
      </c>
      <c r="C145" t="s">
        <v>58</v>
      </c>
      <c r="D145" t="s">
        <v>490</v>
      </c>
      <c r="E145" t="s">
        <v>491</v>
      </c>
      <c r="F145" t="s">
        <v>65</v>
      </c>
      <c r="G145" t="s">
        <v>139</v>
      </c>
      <c r="H145" t="s">
        <v>65</v>
      </c>
      <c r="I145" s="2">
        <v>29990</v>
      </c>
      <c r="J145" s="2">
        <v>29990</v>
      </c>
      <c r="K145" s="2">
        <v>0</v>
      </c>
      <c r="L145" s="3">
        <v>0</v>
      </c>
      <c r="M145" t="s">
        <v>92</v>
      </c>
      <c r="N145" t="s">
        <v>53</v>
      </c>
      <c r="O145" t="s">
        <v>93</v>
      </c>
      <c r="P145" s="2">
        <v>22491</v>
      </c>
      <c r="Q145" s="3">
        <v>133.34</v>
      </c>
      <c r="R145" t="s">
        <v>94</v>
      </c>
      <c r="S145" t="s">
        <v>95</v>
      </c>
      <c r="T145" s="3">
        <v>0</v>
      </c>
      <c r="U145" s="3">
        <v>21.26</v>
      </c>
      <c r="V145" s="3">
        <v>80</v>
      </c>
      <c r="W145" s="3">
        <v>100</v>
      </c>
      <c r="X145" s="3">
        <v>45.32</v>
      </c>
      <c r="AA145">
        <v>46265</v>
      </c>
    </row>
    <row r="146" spans="1:27">
      <c r="A146" t="s">
        <v>492</v>
      </c>
      <c r="B146">
        <v>46265</v>
      </c>
      <c r="C146" t="s">
        <v>58</v>
      </c>
      <c r="D146" t="s">
        <v>490</v>
      </c>
      <c r="E146" t="s">
        <v>493</v>
      </c>
      <c r="F146" t="s">
        <v>65</v>
      </c>
      <c r="G146" t="s">
        <v>139</v>
      </c>
      <c r="H146" t="s">
        <v>65</v>
      </c>
      <c r="I146" s="2">
        <v>27990</v>
      </c>
      <c r="J146" s="2">
        <v>27990</v>
      </c>
      <c r="K146" s="2">
        <v>0</v>
      </c>
      <c r="L146" s="3">
        <v>0</v>
      </c>
      <c r="M146" t="s">
        <v>92</v>
      </c>
      <c r="N146" t="s">
        <v>53</v>
      </c>
      <c r="O146" t="s">
        <v>93</v>
      </c>
      <c r="P146" s="2">
        <v>22491</v>
      </c>
      <c r="Q146" s="3">
        <v>124.45</v>
      </c>
      <c r="R146" t="s">
        <v>94</v>
      </c>
      <c r="S146" t="s">
        <v>95</v>
      </c>
      <c r="T146" s="3">
        <v>0</v>
      </c>
      <c r="U146" s="3">
        <v>21.26</v>
      </c>
      <c r="V146" s="3">
        <v>80</v>
      </c>
      <c r="W146" s="3">
        <v>100</v>
      </c>
      <c r="X146" s="3">
        <v>45.32</v>
      </c>
      <c r="AA146">
        <v>46265</v>
      </c>
    </row>
    <row r="147" spans="1:27">
      <c r="A147" t="s">
        <v>494</v>
      </c>
      <c r="B147">
        <v>46265</v>
      </c>
      <c r="C147" t="s">
        <v>58</v>
      </c>
      <c r="D147" t="s">
        <v>447</v>
      </c>
      <c r="E147" t="s">
        <v>495</v>
      </c>
      <c r="F147" t="s">
        <v>65</v>
      </c>
      <c r="G147" t="s">
        <v>139</v>
      </c>
      <c r="H147" t="s">
        <v>65</v>
      </c>
      <c r="I147" s="2">
        <v>29990</v>
      </c>
      <c r="J147" s="2">
        <v>29990</v>
      </c>
      <c r="K147" s="2">
        <v>0</v>
      </c>
      <c r="L147" s="3">
        <v>0</v>
      </c>
      <c r="M147" t="s">
        <v>92</v>
      </c>
      <c r="N147" t="s">
        <v>53</v>
      </c>
      <c r="O147" t="s">
        <v>93</v>
      </c>
      <c r="P147" s="2">
        <v>22491</v>
      </c>
      <c r="Q147" s="3">
        <v>133.34</v>
      </c>
      <c r="R147" t="s">
        <v>94</v>
      </c>
      <c r="S147" t="s">
        <v>95</v>
      </c>
      <c r="T147" s="3">
        <v>0</v>
      </c>
      <c r="U147" s="3">
        <v>21.26</v>
      </c>
      <c r="V147" s="3">
        <v>80</v>
      </c>
      <c r="W147" s="3">
        <v>100</v>
      </c>
      <c r="X147" s="3">
        <v>45.32</v>
      </c>
      <c r="AA147">
        <v>46265</v>
      </c>
    </row>
    <row r="148" spans="1:27">
      <c r="A148" t="s">
        <v>496</v>
      </c>
      <c r="B148">
        <v>46265</v>
      </c>
      <c r="C148" t="s">
        <v>58</v>
      </c>
      <c r="D148" t="s">
        <v>447</v>
      </c>
      <c r="E148" t="s">
        <v>497</v>
      </c>
      <c r="F148" t="s">
        <v>65</v>
      </c>
      <c r="G148" t="s">
        <v>139</v>
      </c>
      <c r="H148" t="s">
        <v>65</v>
      </c>
      <c r="I148" s="2">
        <v>29990</v>
      </c>
      <c r="J148" s="2">
        <v>29990</v>
      </c>
      <c r="K148" s="2">
        <v>0</v>
      </c>
      <c r="L148" s="3">
        <v>0</v>
      </c>
      <c r="M148" t="s">
        <v>92</v>
      </c>
      <c r="N148" t="s">
        <v>53</v>
      </c>
      <c r="O148" t="s">
        <v>93</v>
      </c>
      <c r="P148" s="2">
        <v>22491</v>
      </c>
      <c r="Q148" s="3">
        <v>133.34</v>
      </c>
      <c r="R148" t="s">
        <v>94</v>
      </c>
      <c r="S148" t="s">
        <v>95</v>
      </c>
      <c r="T148" s="3">
        <v>0</v>
      </c>
      <c r="U148" s="3">
        <v>21.26</v>
      </c>
      <c r="V148" s="3">
        <v>80</v>
      </c>
      <c r="W148" s="3">
        <v>100</v>
      </c>
      <c r="X148" s="3">
        <v>45.32</v>
      </c>
      <c r="AA148">
        <v>46265</v>
      </c>
    </row>
    <row r="149" spans="1:27">
      <c r="A149" t="s">
        <v>498</v>
      </c>
      <c r="B149">
        <v>46265</v>
      </c>
      <c r="C149" t="s">
        <v>58</v>
      </c>
      <c r="D149" t="s">
        <v>447</v>
      </c>
      <c r="E149" t="s">
        <v>499</v>
      </c>
      <c r="F149" t="s">
        <v>65</v>
      </c>
      <c r="G149" t="s">
        <v>139</v>
      </c>
      <c r="H149" t="s">
        <v>65</v>
      </c>
      <c r="I149" s="2">
        <v>29990</v>
      </c>
      <c r="J149" s="2">
        <v>29990</v>
      </c>
      <c r="K149" s="2">
        <v>0</v>
      </c>
      <c r="L149" s="3">
        <v>0</v>
      </c>
      <c r="M149" t="s">
        <v>92</v>
      </c>
      <c r="N149" t="s">
        <v>53</v>
      </c>
      <c r="O149" t="s">
        <v>93</v>
      </c>
      <c r="P149" s="2">
        <v>22491</v>
      </c>
      <c r="Q149" s="3">
        <v>133.34</v>
      </c>
      <c r="R149" t="s">
        <v>94</v>
      </c>
      <c r="S149" t="s">
        <v>95</v>
      </c>
      <c r="T149" s="3">
        <v>0</v>
      </c>
      <c r="U149" s="3">
        <v>21.26</v>
      </c>
      <c r="V149" s="3">
        <v>80</v>
      </c>
      <c r="W149" s="3">
        <v>100</v>
      </c>
      <c r="X149" s="3">
        <v>45.32</v>
      </c>
      <c r="AA149">
        <v>46265</v>
      </c>
    </row>
    <row r="150" spans="1:27">
      <c r="A150" t="s">
        <v>500</v>
      </c>
      <c r="B150">
        <v>46265</v>
      </c>
      <c r="C150" t="s">
        <v>58</v>
      </c>
      <c r="D150" t="s">
        <v>447</v>
      </c>
      <c r="E150" t="s">
        <v>501</v>
      </c>
      <c r="F150" t="s">
        <v>65</v>
      </c>
      <c r="G150" t="s">
        <v>139</v>
      </c>
      <c r="H150" t="s">
        <v>65</v>
      </c>
      <c r="I150" s="2">
        <v>31490</v>
      </c>
      <c r="J150" s="2">
        <v>31490</v>
      </c>
      <c r="K150" s="2">
        <v>0</v>
      </c>
      <c r="L150" s="3">
        <v>0</v>
      </c>
      <c r="M150" t="s">
        <v>92</v>
      </c>
      <c r="N150" t="s">
        <v>54</v>
      </c>
      <c r="O150" t="s">
        <v>93</v>
      </c>
      <c r="P150" s="2">
        <v>22491</v>
      </c>
      <c r="Q150" s="3">
        <v>140.01</v>
      </c>
      <c r="R150" t="s">
        <v>94</v>
      </c>
      <c r="S150" t="s">
        <v>95</v>
      </c>
      <c r="T150" s="3">
        <v>0</v>
      </c>
      <c r="U150" s="3">
        <v>21.26</v>
      </c>
      <c r="V150" s="3">
        <v>80</v>
      </c>
      <c r="W150" s="3">
        <v>100</v>
      </c>
      <c r="X150" s="3">
        <v>45.32</v>
      </c>
      <c r="AA150">
        <v>46265</v>
      </c>
    </row>
    <row r="151" spans="1:27">
      <c r="A151" t="s">
        <v>502</v>
      </c>
      <c r="B151">
        <v>46265</v>
      </c>
      <c r="C151" t="s">
        <v>58</v>
      </c>
      <c r="D151" t="s">
        <v>490</v>
      </c>
      <c r="E151" t="s">
        <v>503</v>
      </c>
      <c r="F151" t="s">
        <v>65</v>
      </c>
      <c r="G151" t="s">
        <v>139</v>
      </c>
      <c r="H151" t="s">
        <v>65</v>
      </c>
      <c r="I151" s="2">
        <v>29990</v>
      </c>
      <c r="J151" s="2">
        <v>29990</v>
      </c>
      <c r="K151" s="2">
        <v>0</v>
      </c>
      <c r="L151" s="3">
        <v>0</v>
      </c>
      <c r="M151" t="s">
        <v>92</v>
      </c>
      <c r="N151" t="s">
        <v>53</v>
      </c>
      <c r="O151" t="s">
        <v>93</v>
      </c>
      <c r="P151" s="2">
        <v>22491</v>
      </c>
      <c r="Q151" s="3">
        <v>133.34</v>
      </c>
      <c r="R151" t="s">
        <v>94</v>
      </c>
      <c r="S151" t="s">
        <v>95</v>
      </c>
      <c r="T151" s="3">
        <v>0</v>
      </c>
      <c r="U151" s="3">
        <v>21.26</v>
      </c>
      <c r="V151" s="3">
        <v>80</v>
      </c>
      <c r="W151" s="3">
        <v>100</v>
      </c>
      <c r="X151" s="3">
        <v>45.32</v>
      </c>
      <c r="AA151">
        <v>46265</v>
      </c>
    </row>
    <row r="152" spans="1:27">
      <c r="A152" t="s">
        <v>504</v>
      </c>
      <c r="B152">
        <v>46265</v>
      </c>
      <c r="C152" t="s">
        <v>58</v>
      </c>
      <c r="D152" t="s">
        <v>469</v>
      </c>
      <c r="E152" t="s">
        <v>505</v>
      </c>
      <c r="F152" t="s">
        <v>63</v>
      </c>
      <c r="G152" t="s">
        <v>139</v>
      </c>
      <c r="H152" t="s">
        <v>63</v>
      </c>
      <c r="I152" s="2">
        <v>17990</v>
      </c>
      <c r="J152" s="2">
        <v>17990</v>
      </c>
      <c r="K152" s="2">
        <v>0</v>
      </c>
      <c r="L152" s="3">
        <v>0</v>
      </c>
      <c r="M152" t="s">
        <v>92</v>
      </c>
      <c r="N152" t="s">
        <v>53</v>
      </c>
      <c r="O152" t="s">
        <v>93</v>
      </c>
      <c r="P152" s="2">
        <v>23490</v>
      </c>
      <c r="Q152" s="3">
        <v>76.59</v>
      </c>
      <c r="R152" t="s">
        <v>94</v>
      </c>
      <c r="S152" t="s">
        <v>95</v>
      </c>
      <c r="T152" s="3">
        <v>0</v>
      </c>
      <c r="U152" s="3">
        <v>21.26</v>
      </c>
      <c r="V152" s="3">
        <v>80</v>
      </c>
      <c r="W152" s="3">
        <v>100</v>
      </c>
      <c r="X152" s="3">
        <v>45.32</v>
      </c>
      <c r="AA152">
        <v>46265</v>
      </c>
    </row>
    <row r="153" spans="1:27">
      <c r="A153" t="s">
        <v>506</v>
      </c>
      <c r="B153">
        <v>46265</v>
      </c>
      <c r="C153" t="s">
        <v>58</v>
      </c>
      <c r="D153" t="s">
        <v>451</v>
      </c>
      <c r="E153" t="s">
        <v>507</v>
      </c>
      <c r="F153" t="s">
        <v>63</v>
      </c>
      <c r="G153" t="s">
        <v>139</v>
      </c>
      <c r="H153" t="s">
        <v>63</v>
      </c>
      <c r="I153" s="2">
        <v>25990</v>
      </c>
      <c r="J153" s="2">
        <v>25990</v>
      </c>
      <c r="K153" s="2">
        <v>0</v>
      </c>
      <c r="L153" s="3">
        <v>0</v>
      </c>
      <c r="M153" t="s">
        <v>92</v>
      </c>
      <c r="N153" t="s">
        <v>53</v>
      </c>
      <c r="O153" t="s">
        <v>93</v>
      </c>
      <c r="P153" s="2">
        <v>23490</v>
      </c>
      <c r="Q153" s="3">
        <v>110.64</v>
      </c>
      <c r="R153" t="s">
        <v>94</v>
      </c>
      <c r="S153" t="s">
        <v>95</v>
      </c>
      <c r="T153" s="3">
        <v>0</v>
      </c>
      <c r="U153" s="3">
        <v>21.26</v>
      </c>
      <c r="V153" s="3">
        <v>80</v>
      </c>
      <c r="W153" s="3">
        <v>100</v>
      </c>
      <c r="X153" s="3">
        <v>45.32</v>
      </c>
      <c r="AA153">
        <v>46265</v>
      </c>
    </row>
    <row r="154" spans="1:27">
      <c r="A154" t="s">
        <v>508</v>
      </c>
      <c r="B154">
        <v>46265</v>
      </c>
      <c r="C154" t="s">
        <v>58</v>
      </c>
      <c r="D154" t="s">
        <v>509</v>
      </c>
      <c r="E154" t="s">
        <v>510</v>
      </c>
      <c r="F154" t="s">
        <v>63</v>
      </c>
      <c r="G154" t="s">
        <v>126</v>
      </c>
      <c r="H154" t="s">
        <v>63</v>
      </c>
      <c r="I154" s="2">
        <v>17990</v>
      </c>
      <c r="J154" s="2">
        <v>17990</v>
      </c>
      <c r="K154" s="2">
        <v>0</v>
      </c>
      <c r="L154" s="3">
        <v>0</v>
      </c>
      <c r="M154" t="s">
        <v>92</v>
      </c>
      <c r="N154" t="s">
        <v>53</v>
      </c>
      <c r="O154" t="s">
        <v>93</v>
      </c>
      <c r="P154" s="2">
        <v>23490</v>
      </c>
      <c r="Q154" s="3">
        <v>76.59</v>
      </c>
      <c r="R154" t="s">
        <v>94</v>
      </c>
      <c r="S154" t="s">
        <v>95</v>
      </c>
      <c r="T154" s="3">
        <v>0</v>
      </c>
      <c r="U154" s="3">
        <v>21.26</v>
      </c>
      <c r="V154" s="3">
        <v>80</v>
      </c>
      <c r="W154" s="3">
        <v>100</v>
      </c>
      <c r="X154" s="3">
        <v>45.32</v>
      </c>
      <c r="AA154">
        <v>46265</v>
      </c>
    </row>
    <row r="155" spans="1:27">
      <c r="A155" t="s">
        <v>511</v>
      </c>
      <c r="B155">
        <v>46265</v>
      </c>
      <c r="C155" t="s">
        <v>58</v>
      </c>
      <c r="D155" t="s">
        <v>451</v>
      </c>
      <c r="E155" t="s">
        <v>512</v>
      </c>
      <c r="F155" t="s">
        <v>63</v>
      </c>
      <c r="G155" t="s">
        <v>139</v>
      </c>
      <c r="H155" t="s">
        <v>63</v>
      </c>
      <c r="I155" s="2">
        <v>26990</v>
      </c>
      <c r="J155" s="2">
        <v>26990</v>
      </c>
      <c r="K155" s="2">
        <v>0</v>
      </c>
      <c r="L155" s="3">
        <v>0</v>
      </c>
      <c r="M155" t="s">
        <v>92</v>
      </c>
      <c r="N155" t="s">
        <v>53</v>
      </c>
      <c r="O155" t="s">
        <v>93</v>
      </c>
      <c r="P155" s="2">
        <v>23490</v>
      </c>
      <c r="Q155" s="3">
        <v>114.9</v>
      </c>
      <c r="R155" t="s">
        <v>94</v>
      </c>
      <c r="S155" t="s">
        <v>95</v>
      </c>
      <c r="T155" s="3">
        <v>0</v>
      </c>
      <c r="U155" s="3">
        <v>21.26</v>
      </c>
      <c r="V155" s="3">
        <v>80</v>
      </c>
      <c r="W155" s="3">
        <v>100</v>
      </c>
      <c r="X155" s="3">
        <v>45.32</v>
      </c>
      <c r="AA155">
        <v>46265</v>
      </c>
    </row>
    <row r="156" spans="1:27">
      <c r="A156" t="s">
        <v>513</v>
      </c>
      <c r="B156">
        <v>46265</v>
      </c>
      <c r="C156" t="s">
        <v>58</v>
      </c>
      <c r="D156" t="s">
        <v>447</v>
      </c>
      <c r="E156" t="s">
        <v>514</v>
      </c>
      <c r="F156" t="s">
        <v>63</v>
      </c>
      <c r="G156" t="s">
        <v>139</v>
      </c>
      <c r="H156" t="s">
        <v>63</v>
      </c>
      <c r="I156" s="2">
        <v>22990</v>
      </c>
      <c r="J156" s="2">
        <v>22990</v>
      </c>
      <c r="K156" s="2">
        <v>0</v>
      </c>
      <c r="L156" s="3">
        <v>0</v>
      </c>
      <c r="M156" t="s">
        <v>92</v>
      </c>
      <c r="N156" t="s">
        <v>53</v>
      </c>
      <c r="O156" t="s">
        <v>93</v>
      </c>
      <c r="P156" s="2">
        <v>23490</v>
      </c>
      <c r="Q156" s="3">
        <v>97.87</v>
      </c>
      <c r="R156" t="s">
        <v>94</v>
      </c>
      <c r="S156" t="s">
        <v>95</v>
      </c>
      <c r="T156" s="3">
        <v>0</v>
      </c>
      <c r="U156" s="3">
        <v>21.26</v>
      </c>
      <c r="V156" s="3">
        <v>80</v>
      </c>
      <c r="W156" s="3">
        <v>100</v>
      </c>
      <c r="X156" s="3">
        <v>45.32</v>
      </c>
      <c r="AA156">
        <v>46265</v>
      </c>
    </row>
    <row r="157" spans="1:27">
      <c r="A157" t="s">
        <v>515</v>
      </c>
      <c r="B157">
        <v>46265</v>
      </c>
      <c r="C157" t="s">
        <v>58</v>
      </c>
      <c r="D157" t="s">
        <v>516</v>
      </c>
      <c r="E157" t="s">
        <v>517</v>
      </c>
      <c r="F157" t="s">
        <v>63</v>
      </c>
      <c r="G157" t="s">
        <v>139</v>
      </c>
      <c r="H157" t="s">
        <v>63</v>
      </c>
      <c r="I157" s="2">
        <v>17990</v>
      </c>
      <c r="J157" s="2">
        <v>17990</v>
      </c>
      <c r="K157" s="2">
        <v>0</v>
      </c>
      <c r="L157" s="3">
        <v>0</v>
      </c>
      <c r="M157" t="s">
        <v>92</v>
      </c>
      <c r="N157" t="s">
        <v>53</v>
      </c>
      <c r="O157" t="s">
        <v>93</v>
      </c>
      <c r="P157" s="2">
        <v>23490</v>
      </c>
      <c r="Q157" s="3">
        <v>76.59</v>
      </c>
      <c r="R157" t="s">
        <v>94</v>
      </c>
      <c r="S157" t="s">
        <v>95</v>
      </c>
      <c r="T157" s="3">
        <v>0</v>
      </c>
      <c r="U157" s="3">
        <v>21.26</v>
      </c>
      <c r="V157" s="3">
        <v>80</v>
      </c>
      <c r="W157" s="3">
        <v>100</v>
      </c>
      <c r="X157" s="3">
        <v>45.32</v>
      </c>
      <c r="AA157">
        <v>46265</v>
      </c>
    </row>
    <row r="158" spans="1:27">
      <c r="A158" t="s">
        <v>518</v>
      </c>
      <c r="B158">
        <v>46265</v>
      </c>
      <c r="C158" t="s">
        <v>58</v>
      </c>
      <c r="D158" t="s">
        <v>447</v>
      </c>
      <c r="E158" t="s">
        <v>519</v>
      </c>
      <c r="F158" t="s">
        <v>63</v>
      </c>
      <c r="G158" t="s">
        <v>139</v>
      </c>
      <c r="H158" t="s">
        <v>63</v>
      </c>
      <c r="I158" s="2">
        <v>27990</v>
      </c>
      <c r="J158" s="2">
        <v>27990</v>
      </c>
      <c r="K158" s="2">
        <v>0</v>
      </c>
      <c r="L158" s="3">
        <v>0</v>
      </c>
      <c r="M158" t="s">
        <v>92</v>
      </c>
      <c r="N158" t="s">
        <v>53</v>
      </c>
      <c r="O158" t="s">
        <v>93</v>
      </c>
      <c r="P158" s="2">
        <v>23490</v>
      </c>
      <c r="Q158" s="3">
        <v>119.16</v>
      </c>
      <c r="R158" t="s">
        <v>94</v>
      </c>
      <c r="S158" t="s">
        <v>95</v>
      </c>
      <c r="T158" s="3">
        <v>0</v>
      </c>
      <c r="U158" s="3">
        <v>21.26</v>
      </c>
      <c r="V158" s="3">
        <v>80</v>
      </c>
      <c r="W158" s="3">
        <v>100</v>
      </c>
      <c r="X158" s="3">
        <v>45.32</v>
      </c>
      <c r="AA158">
        <v>46265</v>
      </c>
    </row>
    <row r="159" spans="1:27">
      <c r="A159" t="s">
        <v>520</v>
      </c>
      <c r="B159">
        <v>46265</v>
      </c>
      <c r="C159" t="s">
        <v>58</v>
      </c>
      <c r="D159" t="s">
        <v>521</v>
      </c>
      <c r="E159" t="s">
        <v>522</v>
      </c>
      <c r="F159" t="s">
        <v>63</v>
      </c>
      <c r="G159" t="s">
        <v>139</v>
      </c>
      <c r="H159" t="s">
        <v>63</v>
      </c>
      <c r="I159" s="2">
        <v>23990</v>
      </c>
      <c r="J159" s="2">
        <v>23990</v>
      </c>
      <c r="K159" s="2">
        <v>0</v>
      </c>
      <c r="L159" s="3">
        <v>0</v>
      </c>
      <c r="M159" t="s">
        <v>92</v>
      </c>
      <c r="N159" t="s">
        <v>53</v>
      </c>
      <c r="O159" t="s">
        <v>93</v>
      </c>
      <c r="P159" s="2">
        <v>23490</v>
      </c>
      <c r="Q159" s="3">
        <v>102.13</v>
      </c>
      <c r="R159" t="s">
        <v>94</v>
      </c>
      <c r="S159" t="s">
        <v>95</v>
      </c>
      <c r="T159" s="3">
        <v>0</v>
      </c>
      <c r="U159" s="3">
        <v>21.26</v>
      </c>
      <c r="V159" s="3">
        <v>80</v>
      </c>
      <c r="W159" s="3">
        <v>100</v>
      </c>
      <c r="X159" s="3">
        <v>45.32</v>
      </c>
      <c r="AA159">
        <v>46265</v>
      </c>
    </row>
    <row r="160" spans="1:27">
      <c r="A160" t="s">
        <v>523</v>
      </c>
      <c r="B160">
        <v>46265</v>
      </c>
      <c r="C160" t="s">
        <v>58</v>
      </c>
      <c r="D160" t="s">
        <v>447</v>
      </c>
      <c r="E160" t="s">
        <v>524</v>
      </c>
      <c r="F160" t="s">
        <v>63</v>
      </c>
      <c r="G160" t="s">
        <v>139</v>
      </c>
      <c r="H160" t="s">
        <v>63</v>
      </c>
      <c r="I160" s="2">
        <v>20990</v>
      </c>
      <c r="J160" s="2">
        <v>20990</v>
      </c>
      <c r="K160" s="2">
        <v>0</v>
      </c>
      <c r="L160" s="3">
        <v>0</v>
      </c>
      <c r="M160" t="s">
        <v>92</v>
      </c>
      <c r="N160" t="s">
        <v>53</v>
      </c>
      <c r="O160" t="s">
        <v>93</v>
      </c>
      <c r="P160" s="2">
        <v>23490</v>
      </c>
      <c r="Q160" s="3">
        <v>89.36</v>
      </c>
      <c r="R160" t="s">
        <v>94</v>
      </c>
      <c r="S160" t="s">
        <v>95</v>
      </c>
      <c r="T160" s="3">
        <v>0</v>
      </c>
      <c r="U160" s="3">
        <v>21.26</v>
      </c>
      <c r="V160" s="3">
        <v>80</v>
      </c>
      <c r="W160" s="3">
        <v>100</v>
      </c>
      <c r="X160" s="3">
        <v>45.32</v>
      </c>
      <c r="AA160">
        <v>46265</v>
      </c>
    </row>
    <row r="161" spans="1:27">
      <c r="A161" t="s">
        <v>525</v>
      </c>
      <c r="B161">
        <v>46265</v>
      </c>
      <c r="C161" t="s">
        <v>58</v>
      </c>
      <c r="D161" t="s">
        <v>447</v>
      </c>
      <c r="E161" t="s">
        <v>526</v>
      </c>
      <c r="F161" t="s">
        <v>63</v>
      </c>
      <c r="G161" t="s">
        <v>139</v>
      </c>
      <c r="H161" t="s">
        <v>63</v>
      </c>
      <c r="I161" s="2">
        <v>27990</v>
      </c>
      <c r="J161" s="2">
        <v>27990</v>
      </c>
      <c r="K161" s="2">
        <v>0</v>
      </c>
      <c r="L161" s="3">
        <v>0</v>
      </c>
      <c r="M161" t="s">
        <v>92</v>
      </c>
      <c r="N161" t="s">
        <v>53</v>
      </c>
      <c r="O161" t="s">
        <v>93</v>
      </c>
      <c r="P161" s="2">
        <v>23490</v>
      </c>
      <c r="Q161" s="3">
        <v>119.16</v>
      </c>
      <c r="R161" t="s">
        <v>94</v>
      </c>
      <c r="S161" t="s">
        <v>95</v>
      </c>
      <c r="T161" s="3">
        <v>0</v>
      </c>
      <c r="U161" s="3">
        <v>21.26</v>
      </c>
      <c r="V161" s="3">
        <v>80</v>
      </c>
      <c r="W161" s="3">
        <v>100</v>
      </c>
      <c r="X161" s="3">
        <v>45.32</v>
      </c>
      <c r="AA161">
        <v>46265</v>
      </c>
    </row>
    <row r="162" spans="1:27">
      <c r="A162" t="s">
        <v>527</v>
      </c>
      <c r="B162">
        <v>46265</v>
      </c>
      <c r="C162" t="s">
        <v>58</v>
      </c>
      <c r="D162" t="s">
        <v>447</v>
      </c>
      <c r="E162" t="s">
        <v>528</v>
      </c>
      <c r="F162" t="s">
        <v>63</v>
      </c>
      <c r="G162" t="s">
        <v>139</v>
      </c>
      <c r="H162" t="s">
        <v>63</v>
      </c>
      <c r="I162" s="2">
        <v>29990</v>
      </c>
      <c r="J162" s="2">
        <v>29990</v>
      </c>
      <c r="K162" s="2">
        <v>0</v>
      </c>
      <c r="L162" s="3">
        <v>0</v>
      </c>
      <c r="M162" t="s">
        <v>92</v>
      </c>
      <c r="N162" t="s">
        <v>53</v>
      </c>
      <c r="O162" t="s">
        <v>93</v>
      </c>
      <c r="P162" s="2">
        <v>23490</v>
      </c>
      <c r="Q162" s="3">
        <v>127.67</v>
      </c>
      <c r="R162" t="s">
        <v>94</v>
      </c>
      <c r="S162" t="s">
        <v>95</v>
      </c>
      <c r="T162" s="3">
        <v>0</v>
      </c>
      <c r="U162" s="3">
        <v>21.26</v>
      </c>
      <c r="V162" s="3">
        <v>80</v>
      </c>
      <c r="W162" s="3">
        <v>100</v>
      </c>
      <c r="X162" s="3">
        <v>45.32</v>
      </c>
      <c r="AA162">
        <v>46265</v>
      </c>
    </row>
    <row r="163" spans="1:27">
      <c r="A163" t="s">
        <v>529</v>
      </c>
      <c r="B163">
        <v>46265</v>
      </c>
      <c r="C163" t="s">
        <v>58</v>
      </c>
      <c r="D163" t="s">
        <v>521</v>
      </c>
      <c r="E163" t="s">
        <v>530</v>
      </c>
      <c r="F163" t="s">
        <v>63</v>
      </c>
      <c r="G163" t="s">
        <v>139</v>
      </c>
      <c r="H163" t="s">
        <v>63</v>
      </c>
      <c r="I163" s="2">
        <v>23990</v>
      </c>
      <c r="J163" s="2">
        <v>23990</v>
      </c>
      <c r="K163" s="2">
        <v>0</v>
      </c>
      <c r="L163" s="3">
        <v>0</v>
      </c>
      <c r="M163" t="s">
        <v>92</v>
      </c>
      <c r="N163" t="s">
        <v>53</v>
      </c>
      <c r="O163" t="s">
        <v>93</v>
      </c>
      <c r="P163" s="2">
        <v>23490</v>
      </c>
      <c r="Q163" s="3">
        <v>102.13</v>
      </c>
      <c r="R163" t="s">
        <v>94</v>
      </c>
      <c r="S163" t="s">
        <v>95</v>
      </c>
      <c r="T163" s="3">
        <v>0</v>
      </c>
      <c r="U163" s="3">
        <v>21.26</v>
      </c>
      <c r="V163" s="3">
        <v>80</v>
      </c>
      <c r="W163" s="3">
        <v>100</v>
      </c>
      <c r="X163" s="3">
        <v>45.32</v>
      </c>
      <c r="AA163">
        <v>46265</v>
      </c>
    </row>
    <row r="164" spans="1:27">
      <c r="A164" t="s">
        <v>531</v>
      </c>
      <c r="B164">
        <v>46265</v>
      </c>
      <c r="C164" t="s">
        <v>58</v>
      </c>
      <c r="D164" t="s">
        <v>532</v>
      </c>
      <c r="E164" t="s">
        <v>533</v>
      </c>
      <c r="F164" t="s">
        <v>63</v>
      </c>
      <c r="G164" t="s">
        <v>139</v>
      </c>
      <c r="H164" t="s">
        <v>63</v>
      </c>
      <c r="I164" s="2">
        <v>22990</v>
      </c>
      <c r="J164" s="2">
        <v>22990</v>
      </c>
      <c r="K164" s="2">
        <v>0</v>
      </c>
      <c r="L164" s="3">
        <v>0</v>
      </c>
      <c r="M164" t="s">
        <v>92</v>
      </c>
      <c r="N164" t="s">
        <v>53</v>
      </c>
      <c r="O164" t="s">
        <v>93</v>
      </c>
      <c r="P164" s="2">
        <v>23490</v>
      </c>
      <c r="Q164" s="3">
        <v>97.87</v>
      </c>
      <c r="R164" t="s">
        <v>94</v>
      </c>
      <c r="S164" t="s">
        <v>95</v>
      </c>
      <c r="T164" s="3">
        <v>0</v>
      </c>
      <c r="U164" s="3">
        <v>21.26</v>
      </c>
      <c r="V164" s="3">
        <v>80</v>
      </c>
      <c r="W164" s="3">
        <v>100</v>
      </c>
      <c r="X164" s="3">
        <v>45.32</v>
      </c>
      <c r="AA164">
        <v>46265</v>
      </c>
    </row>
    <row r="165" spans="1:27">
      <c r="A165" t="s">
        <v>534</v>
      </c>
      <c r="B165">
        <v>46265</v>
      </c>
      <c r="C165" t="s">
        <v>58</v>
      </c>
      <c r="D165" t="s">
        <v>447</v>
      </c>
      <c r="E165" t="s">
        <v>535</v>
      </c>
      <c r="F165" t="s">
        <v>63</v>
      </c>
      <c r="G165" t="s">
        <v>139</v>
      </c>
      <c r="H165" t="s">
        <v>63</v>
      </c>
      <c r="I165" s="2">
        <v>20990</v>
      </c>
      <c r="J165" s="2">
        <v>20990</v>
      </c>
      <c r="K165" s="2">
        <v>0</v>
      </c>
      <c r="L165" s="3">
        <v>0</v>
      </c>
      <c r="M165" t="s">
        <v>92</v>
      </c>
      <c r="N165" t="s">
        <v>53</v>
      </c>
      <c r="O165" t="s">
        <v>93</v>
      </c>
      <c r="P165" s="2">
        <v>23490</v>
      </c>
      <c r="Q165" s="3">
        <v>89.36</v>
      </c>
      <c r="R165" t="s">
        <v>94</v>
      </c>
      <c r="S165" t="s">
        <v>95</v>
      </c>
      <c r="T165" s="3">
        <v>0</v>
      </c>
      <c r="U165" s="3">
        <v>21.26</v>
      </c>
      <c r="V165" s="3">
        <v>80</v>
      </c>
      <c r="W165" s="3">
        <v>100</v>
      </c>
      <c r="X165" s="3">
        <v>45.32</v>
      </c>
      <c r="AA165">
        <v>46265</v>
      </c>
    </row>
    <row r="166" spans="1:27">
      <c r="A166" t="s">
        <v>536</v>
      </c>
      <c r="B166">
        <v>46265</v>
      </c>
      <c r="C166" t="s">
        <v>58</v>
      </c>
      <c r="D166" t="s">
        <v>447</v>
      </c>
      <c r="E166" t="s">
        <v>537</v>
      </c>
      <c r="F166" t="s">
        <v>63</v>
      </c>
      <c r="G166" t="s">
        <v>139</v>
      </c>
      <c r="H166" t="s">
        <v>63</v>
      </c>
      <c r="I166" s="2">
        <v>20990</v>
      </c>
      <c r="J166" s="2">
        <v>20990</v>
      </c>
      <c r="K166" s="2">
        <v>0</v>
      </c>
      <c r="L166" s="3">
        <v>0</v>
      </c>
      <c r="M166" t="s">
        <v>92</v>
      </c>
      <c r="N166" t="s">
        <v>53</v>
      </c>
      <c r="O166" t="s">
        <v>93</v>
      </c>
      <c r="P166" s="2">
        <v>23490</v>
      </c>
      <c r="Q166" s="3">
        <v>89.36</v>
      </c>
      <c r="R166" t="s">
        <v>94</v>
      </c>
      <c r="S166" t="s">
        <v>95</v>
      </c>
      <c r="T166" s="3">
        <v>0</v>
      </c>
      <c r="U166" s="3">
        <v>21.26</v>
      </c>
      <c r="V166" s="3">
        <v>80</v>
      </c>
      <c r="W166" s="3">
        <v>100</v>
      </c>
      <c r="X166" s="3">
        <v>45.32</v>
      </c>
      <c r="AA166">
        <v>46265</v>
      </c>
    </row>
    <row r="167" spans="1:27">
      <c r="A167" t="s">
        <v>538</v>
      </c>
      <c r="B167">
        <v>46265</v>
      </c>
      <c r="C167" t="s">
        <v>58</v>
      </c>
      <c r="D167" t="s">
        <v>539</v>
      </c>
      <c r="E167" t="s">
        <v>540</v>
      </c>
      <c r="F167" t="s">
        <v>63</v>
      </c>
      <c r="G167" t="s">
        <v>126</v>
      </c>
      <c r="H167" t="s">
        <v>63</v>
      </c>
      <c r="I167" s="2">
        <v>8490</v>
      </c>
      <c r="J167" s="2">
        <v>8490</v>
      </c>
      <c r="K167" s="2">
        <v>0</v>
      </c>
      <c r="L167" s="3">
        <v>0</v>
      </c>
      <c r="M167" t="s">
        <v>92</v>
      </c>
      <c r="N167" t="s">
        <v>52</v>
      </c>
      <c r="O167" t="s">
        <v>93</v>
      </c>
      <c r="P167" s="2">
        <v>23490</v>
      </c>
      <c r="Q167" s="3">
        <v>36.14</v>
      </c>
      <c r="R167" t="s">
        <v>94</v>
      </c>
      <c r="S167" t="s">
        <v>95</v>
      </c>
      <c r="T167" s="3">
        <v>0</v>
      </c>
      <c r="U167" s="3">
        <v>21.26</v>
      </c>
      <c r="V167" s="3">
        <v>80</v>
      </c>
      <c r="W167" s="3">
        <v>100</v>
      </c>
      <c r="X167" s="3">
        <v>45.32</v>
      </c>
      <c r="AA167">
        <v>46265</v>
      </c>
    </row>
    <row r="168" spans="1:27">
      <c r="A168" t="s">
        <v>541</v>
      </c>
      <c r="B168">
        <v>46265</v>
      </c>
      <c r="C168" t="s">
        <v>58</v>
      </c>
      <c r="D168" t="s">
        <v>539</v>
      </c>
      <c r="E168" t="s">
        <v>542</v>
      </c>
      <c r="F168" t="s">
        <v>63</v>
      </c>
      <c r="G168" t="s">
        <v>126</v>
      </c>
      <c r="H168" t="s">
        <v>63</v>
      </c>
      <c r="I168" s="2">
        <v>8490</v>
      </c>
      <c r="J168" s="2">
        <v>8490</v>
      </c>
      <c r="K168" s="2">
        <v>0</v>
      </c>
      <c r="L168" s="3">
        <v>0</v>
      </c>
      <c r="M168" t="s">
        <v>92</v>
      </c>
      <c r="N168" t="s">
        <v>52</v>
      </c>
      <c r="O168" t="s">
        <v>93</v>
      </c>
      <c r="P168" s="2">
        <v>23490</v>
      </c>
      <c r="Q168" s="3">
        <v>36.14</v>
      </c>
      <c r="R168" t="s">
        <v>94</v>
      </c>
      <c r="S168" t="s">
        <v>95</v>
      </c>
      <c r="T168" s="3">
        <v>0</v>
      </c>
      <c r="U168" s="3">
        <v>21.26</v>
      </c>
      <c r="V168" s="3">
        <v>80</v>
      </c>
      <c r="W168" s="3">
        <v>100</v>
      </c>
      <c r="X168" s="3">
        <v>45.32</v>
      </c>
      <c r="AA168">
        <v>46265</v>
      </c>
    </row>
    <row r="169" spans="1:27">
      <c r="A169" t="s">
        <v>543</v>
      </c>
      <c r="B169">
        <v>46265</v>
      </c>
      <c r="C169" t="s">
        <v>58</v>
      </c>
      <c r="D169" t="s">
        <v>469</v>
      </c>
      <c r="E169" t="s">
        <v>544</v>
      </c>
      <c r="F169" t="s">
        <v>63</v>
      </c>
      <c r="G169" t="s">
        <v>139</v>
      </c>
      <c r="H169" t="s">
        <v>63</v>
      </c>
      <c r="I169" s="2">
        <v>9490</v>
      </c>
      <c r="J169" s="2">
        <v>9490</v>
      </c>
      <c r="K169" s="2">
        <v>0</v>
      </c>
      <c r="L169" s="3">
        <v>0</v>
      </c>
      <c r="M169" t="s">
        <v>92</v>
      </c>
      <c r="N169" t="s">
        <v>52</v>
      </c>
      <c r="O169" t="s">
        <v>93</v>
      </c>
      <c r="P169" s="2">
        <v>23490</v>
      </c>
      <c r="Q169" s="3">
        <v>40.4</v>
      </c>
      <c r="R169" t="s">
        <v>94</v>
      </c>
      <c r="S169" t="s">
        <v>95</v>
      </c>
      <c r="T169" s="3">
        <v>0</v>
      </c>
      <c r="U169" s="3">
        <v>21.26</v>
      </c>
      <c r="V169" s="3">
        <v>80</v>
      </c>
      <c r="W169" s="3">
        <v>100</v>
      </c>
      <c r="X169" s="3">
        <v>45.32</v>
      </c>
      <c r="AA169">
        <v>46265</v>
      </c>
    </row>
    <row r="170" spans="1:27">
      <c r="A170" t="s">
        <v>545</v>
      </c>
      <c r="B170">
        <v>46265</v>
      </c>
      <c r="C170" t="s">
        <v>58</v>
      </c>
      <c r="D170" t="s">
        <v>469</v>
      </c>
      <c r="E170" t="s">
        <v>546</v>
      </c>
      <c r="F170" t="s">
        <v>63</v>
      </c>
      <c r="G170" t="s">
        <v>139</v>
      </c>
      <c r="H170" t="s">
        <v>63</v>
      </c>
      <c r="I170" s="2">
        <v>9490</v>
      </c>
      <c r="J170" s="2">
        <v>9490</v>
      </c>
      <c r="K170" s="2">
        <v>0</v>
      </c>
      <c r="L170" s="3">
        <v>0</v>
      </c>
      <c r="M170" t="s">
        <v>92</v>
      </c>
      <c r="N170" t="s">
        <v>52</v>
      </c>
      <c r="O170" t="s">
        <v>93</v>
      </c>
      <c r="P170" s="2">
        <v>23490</v>
      </c>
      <c r="Q170" s="3">
        <v>40.4</v>
      </c>
      <c r="R170" t="s">
        <v>94</v>
      </c>
      <c r="S170" t="s">
        <v>95</v>
      </c>
      <c r="T170" s="3">
        <v>0</v>
      </c>
      <c r="U170" s="3">
        <v>21.26</v>
      </c>
      <c r="V170" s="3">
        <v>80</v>
      </c>
      <c r="W170" s="3">
        <v>100</v>
      </c>
      <c r="X170" s="3">
        <v>45.32</v>
      </c>
      <c r="AA170">
        <v>46265</v>
      </c>
    </row>
    <row r="171" spans="1:27">
      <c r="A171" t="s">
        <v>547</v>
      </c>
      <c r="B171">
        <v>46265</v>
      </c>
      <c r="C171" t="s">
        <v>58</v>
      </c>
      <c r="D171" t="s">
        <v>469</v>
      </c>
      <c r="E171" t="s">
        <v>548</v>
      </c>
      <c r="F171" t="s">
        <v>63</v>
      </c>
      <c r="G171" t="s">
        <v>139</v>
      </c>
      <c r="H171" t="s">
        <v>63</v>
      </c>
      <c r="I171" s="2">
        <v>9490</v>
      </c>
      <c r="J171" s="2">
        <v>9490</v>
      </c>
      <c r="K171" s="2">
        <v>0</v>
      </c>
      <c r="L171" s="3">
        <v>0</v>
      </c>
      <c r="M171" t="s">
        <v>92</v>
      </c>
      <c r="N171" t="s">
        <v>52</v>
      </c>
      <c r="O171" t="s">
        <v>93</v>
      </c>
      <c r="P171" s="2">
        <v>23490</v>
      </c>
      <c r="Q171" s="3">
        <v>40.4</v>
      </c>
      <c r="R171" t="s">
        <v>94</v>
      </c>
      <c r="S171" t="s">
        <v>95</v>
      </c>
      <c r="T171" s="3">
        <v>0</v>
      </c>
      <c r="U171" s="3">
        <v>21.26</v>
      </c>
      <c r="V171" s="3">
        <v>80</v>
      </c>
      <c r="W171" s="3">
        <v>100</v>
      </c>
      <c r="X171" s="3">
        <v>45.32</v>
      </c>
      <c r="AA171">
        <v>46265</v>
      </c>
    </row>
    <row r="172" spans="1:27">
      <c r="A172" t="s">
        <v>549</v>
      </c>
      <c r="B172">
        <v>46265</v>
      </c>
      <c r="C172" t="s">
        <v>58</v>
      </c>
      <c r="D172" t="s">
        <v>469</v>
      </c>
      <c r="E172" t="s">
        <v>550</v>
      </c>
      <c r="F172" t="s">
        <v>63</v>
      </c>
      <c r="G172" t="s">
        <v>139</v>
      </c>
      <c r="H172" t="s">
        <v>63</v>
      </c>
      <c r="I172" s="2">
        <v>9490</v>
      </c>
      <c r="J172" s="2">
        <v>9490</v>
      </c>
      <c r="K172" s="2">
        <v>0</v>
      </c>
      <c r="L172" s="3">
        <v>0</v>
      </c>
      <c r="M172" t="s">
        <v>92</v>
      </c>
      <c r="N172" t="s">
        <v>52</v>
      </c>
      <c r="O172" t="s">
        <v>93</v>
      </c>
      <c r="P172" s="2">
        <v>23490</v>
      </c>
      <c r="Q172" s="3">
        <v>40.4</v>
      </c>
      <c r="R172" t="s">
        <v>94</v>
      </c>
      <c r="S172" t="s">
        <v>95</v>
      </c>
      <c r="T172" s="3">
        <v>0</v>
      </c>
      <c r="U172" s="3">
        <v>21.26</v>
      </c>
      <c r="V172" s="3">
        <v>80</v>
      </c>
      <c r="W172" s="3">
        <v>100</v>
      </c>
      <c r="X172" s="3">
        <v>45.32</v>
      </c>
      <c r="AA172">
        <v>46265</v>
      </c>
    </row>
    <row r="173" spans="1:27">
      <c r="A173" t="s">
        <v>551</v>
      </c>
      <c r="B173">
        <v>46265</v>
      </c>
      <c r="C173" t="s">
        <v>58</v>
      </c>
      <c r="D173" t="s">
        <v>552</v>
      </c>
      <c r="E173" t="s">
        <v>553</v>
      </c>
      <c r="F173" t="s">
        <v>63</v>
      </c>
      <c r="G173" t="s">
        <v>139</v>
      </c>
      <c r="H173" t="s">
        <v>63</v>
      </c>
      <c r="I173" s="2">
        <v>28490</v>
      </c>
      <c r="J173" s="2">
        <v>28490</v>
      </c>
      <c r="K173" s="2">
        <v>0</v>
      </c>
      <c r="L173" s="3">
        <v>0</v>
      </c>
      <c r="M173" t="s">
        <v>92</v>
      </c>
      <c r="N173" t="s">
        <v>53</v>
      </c>
      <c r="O173" t="s">
        <v>93</v>
      </c>
      <c r="P173" s="2">
        <v>23490</v>
      </c>
      <c r="Q173" s="3">
        <v>121.29</v>
      </c>
      <c r="R173" t="s">
        <v>94</v>
      </c>
      <c r="S173" t="s">
        <v>95</v>
      </c>
      <c r="T173" s="3">
        <v>0</v>
      </c>
      <c r="U173" s="3">
        <v>21.26</v>
      </c>
      <c r="V173" s="3">
        <v>80</v>
      </c>
      <c r="W173" s="3">
        <v>100</v>
      </c>
      <c r="X173" s="3">
        <v>45.32</v>
      </c>
      <c r="AA173">
        <v>46265</v>
      </c>
    </row>
    <row r="174" spans="1:27">
      <c r="A174" t="s">
        <v>554</v>
      </c>
      <c r="B174">
        <v>46265</v>
      </c>
      <c r="C174" t="s">
        <v>58</v>
      </c>
      <c r="D174" t="s">
        <v>555</v>
      </c>
      <c r="E174" t="s">
        <v>556</v>
      </c>
      <c r="F174" t="s">
        <v>63</v>
      </c>
      <c r="G174" t="s">
        <v>139</v>
      </c>
      <c r="H174" t="s">
        <v>63</v>
      </c>
      <c r="I174" s="2">
        <v>21990</v>
      </c>
      <c r="J174" s="2">
        <v>21990</v>
      </c>
      <c r="K174" s="2">
        <v>0</v>
      </c>
      <c r="L174" s="3">
        <v>0</v>
      </c>
      <c r="M174" t="s">
        <v>92</v>
      </c>
      <c r="N174" t="s">
        <v>53</v>
      </c>
      <c r="O174" t="s">
        <v>93</v>
      </c>
      <c r="P174" s="2">
        <v>23490</v>
      </c>
      <c r="Q174" s="3">
        <v>93.61</v>
      </c>
      <c r="R174" t="s">
        <v>94</v>
      </c>
      <c r="S174" t="s">
        <v>95</v>
      </c>
      <c r="T174" s="3">
        <v>0</v>
      </c>
      <c r="U174" s="3">
        <v>21.26</v>
      </c>
      <c r="V174" s="3">
        <v>80</v>
      </c>
      <c r="W174" s="3">
        <v>100</v>
      </c>
      <c r="X174" s="3">
        <v>45.32</v>
      </c>
      <c r="AA174">
        <v>46265</v>
      </c>
    </row>
    <row r="175" spans="1:27">
      <c r="A175" t="s">
        <v>557</v>
      </c>
      <c r="B175">
        <v>46265</v>
      </c>
      <c r="C175" t="s">
        <v>58</v>
      </c>
      <c r="D175" t="s">
        <v>447</v>
      </c>
      <c r="E175" t="s">
        <v>558</v>
      </c>
      <c r="F175" t="s">
        <v>63</v>
      </c>
      <c r="G175" t="s">
        <v>139</v>
      </c>
      <c r="H175" t="s">
        <v>63</v>
      </c>
      <c r="I175" s="2">
        <v>24990</v>
      </c>
      <c r="J175" s="2">
        <v>24990</v>
      </c>
      <c r="K175" s="2">
        <v>0</v>
      </c>
      <c r="L175" s="3">
        <v>0</v>
      </c>
      <c r="M175" t="s">
        <v>92</v>
      </c>
      <c r="N175" t="s">
        <v>53</v>
      </c>
      <c r="O175" t="s">
        <v>93</v>
      </c>
      <c r="P175" s="2">
        <v>23490</v>
      </c>
      <c r="Q175" s="3">
        <v>106.39</v>
      </c>
      <c r="R175" t="s">
        <v>94</v>
      </c>
      <c r="S175" t="s">
        <v>95</v>
      </c>
      <c r="T175" s="3">
        <v>0</v>
      </c>
      <c r="U175" s="3">
        <v>21.26</v>
      </c>
      <c r="V175" s="3">
        <v>80</v>
      </c>
      <c r="W175" s="3">
        <v>100</v>
      </c>
      <c r="X175" s="3">
        <v>45.32</v>
      </c>
      <c r="AA175">
        <v>46265</v>
      </c>
    </row>
    <row r="176" spans="1:27">
      <c r="A176" t="s">
        <v>559</v>
      </c>
      <c r="B176">
        <v>46265</v>
      </c>
      <c r="C176" t="s">
        <v>58</v>
      </c>
      <c r="D176" t="s">
        <v>447</v>
      </c>
      <c r="E176" t="s">
        <v>560</v>
      </c>
      <c r="F176" t="s">
        <v>63</v>
      </c>
      <c r="G176" t="s">
        <v>139</v>
      </c>
      <c r="H176" t="s">
        <v>63</v>
      </c>
      <c r="I176" s="2">
        <v>26990</v>
      </c>
      <c r="J176" s="2">
        <v>26990</v>
      </c>
      <c r="K176" s="2">
        <v>0</v>
      </c>
      <c r="L176" s="3">
        <v>0</v>
      </c>
      <c r="M176" t="s">
        <v>92</v>
      </c>
      <c r="N176" t="s">
        <v>53</v>
      </c>
      <c r="O176" t="s">
        <v>93</v>
      </c>
      <c r="P176" s="2">
        <v>23490</v>
      </c>
      <c r="Q176" s="3">
        <v>114.9</v>
      </c>
      <c r="R176" t="s">
        <v>94</v>
      </c>
      <c r="S176" t="s">
        <v>95</v>
      </c>
      <c r="T176" s="3">
        <v>0</v>
      </c>
      <c r="U176" s="3">
        <v>21.26</v>
      </c>
      <c r="V176" s="3">
        <v>80</v>
      </c>
      <c r="W176" s="3">
        <v>100</v>
      </c>
      <c r="X176" s="3">
        <v>45.32</v>
      </c>
      <c r="AA176">
        <v>46265</v>
      </c>
    </row>
    <row r="177" spans="1:27">
      <c r="A177" t="s">
        <v>561</v>
      </c>
      <c r="B177">
        <v>46265</v>
      </c>
      <c r="C177" t="s">
        <v>58</v>
      </c>
      <c r="D177" t="s">
        <v>562</v>
      </c>
      <c r="E177" t="s">
        <v>563</v>
      </c>
      <c r="F177" t="s">
        <v>59</v>
      </c>
      <c r="G177" t="s">
        <v>139</v>
      </c>
      <c r="H177" t="s">
        <v>564</v>
      </c>
      <c r="I177" s="2">
        <v>45990</v>
      </c>
      <c r="J177" s="2">
        <v>45990</v>
      </c>
      <c r="K177" s="2">
        <v>0</v>
      </c>
      <c r="L177" s="3">
        <v>0</v>
      </c>
      <c r="M177" t="s">
        <v>92</v>
      </c>
      <c r="N177" t="s">
        <v>54</v>
      </c>
      <c r="O177" t="s">
        <v>93</v>
      </c>
      <c r="P177" s="2">
        <v>27990</v>
      </c>
      <c r="Q177" s="3">
        <v>164.31</v>
      </c>
      <c r="R177" t="s">
        <v>94</v>
      </c>
      <c r="S177" t="s">
        <v>95</v>
      </c>
      <c r="T177" s="3">
        <v>0</v>
      </c>
      <c r="U177" s="3">
        <v>21.26</v>
      </c>
      <c r="V177" s="3">
        <v>80</v>
      </c>
      <c r="W177" s="3">
        <v>100</v>
      </c>
      <c r="X177" s="3">
        <v>45.32</v>
      </c>
      <c r="AA177">
        <v>46265</v>
      </c>
    </row>
    <row r="178" spans="1:27">
      <c r="A178" t="s">
        <v>565</v>
      </c>
      <c r="B178">
        <v>46265</v>
      </c>
      <c r="C178" t="s">
        <v>58</v>
      </c>
      <c r="D178" t="s">
        <v>566</v>
      </c>
      <c r="E178" t="s">
        <v>567</v>
      </c>
      <c r="F178" t="s">
        <v>59</v>
      </c>
      <c r="G178" t="s">
        <v>139</v>
      </c>
      <c r="H178" t="s">
        <v>564</v>
      </c>
      <c r="I178" s="2">
        <v>47990</v>
      </c>
      <c r="J178" s="2">
        <v>47990</v>
      </c>
      <c r="K178" s="2">
        <v>0</v>
      </c>
      <c r="L178" s="3">
        <v>0</v>
      </c>
      <c r="M178" t="s">
        <v>92</v>
      </c>
      <c r="N178" t="s">
        <v>54</v>
      </c>
      <c r="O178" t="s">
        <v>93</v>
      </c>
      <c r="P178" s="2">
        <v>27990</v>
      </c>
      <c r="Q178" s="3">
        <v>171.45</v>
      </c>
      <c r="R178" t="s">
        <v>94</v>
      </c>
      <c r="S178" t="s">
        <v>95</v>
      </c>
      <c r="T178" s="3">
        <v>0</v>
      </c>
      <c r="U178" s="3">
        <v>21.26</v>
      </c>
      <c r="V178" s="3">
        <v>80</v>
      </c>
      <c r="W178" s="3">
        <v>100</v>
      </c>
      <c r="X178" s="3">
        <v>45.32</v>
      </c>
      <c r="AA178">
        <v>46265</v>
      </c>
    </row>
    <row r="179" spans="1:27">
      <c r="A179" t="s">
        <v>568</v>
      </c>
      <c r="B179">
        <v>46265</v>
      </c>
      <c r="C179" t="s">
        <v>58</v>
      </c>
      <c r="D179" t="s">
        <v>569</v>
      </c>
      <c r="E179" t="s">
        <v>570</v>
      </c>
      <c r="F179" t="s">
        <v>59</v>
      </c>
      <c r="G179" t="s">
        <v>139</v>
      </c>
      <c r="H179" t="s">
        <v>564</v>
      </c>
      <c r="I179" s="2">
        <v>46990</v>
      </c>
      <c r="J179" s="2">
        <v>46990</v>
      </c>
      <c r="K179" s="2">
        <v>0</v>
      </c>
      <c r="L179" s="3">
        <v>0</v>
      </c>
      <c r="M179" t="s">
        <v>92</v>
      </c>
      <c r="N179" t="s">
        <v>54</v>
      </c>
      <c r="O179" t="s">
        <v>93</v>
      </c>
      <c r="P179" s="2">
        <v>27990</v>
      </c>
      <c r="Q179" s="3">
        <v>167.88</v>
      </c>
      <c r="R179" t="s">
        <v>94</v>
      </c>
      <c r="S179" t="s">
        <v>95</v>
      </c>
      <c r="T179" s="3">
        <v>0</v>
      </c>
      <c r="U179" s="3">
        <v>21.26</v>
      </c>
      <c r="V179" s="3">
        <v>80</v>
      </c>
      <c r="W179" s="3">
        <v>100</v>
      </c>
      <c r="X179" s="3">
        <v>45.32</v>
      </c>
      <c r="AA179">
        <v>46265</v>
      </c>
    </row>
    <row r="180" spans="1:27">
      <c r="A180" t="s">
        <v>571</v>
      </c>
      <c r="B180">
        <v>46265</v>
      </c>
      <c r="C180" t="s">
        <v>58</v>
      </c>
      <c r="D180" t="s">
        <v>572</v>
      </c>
      <c r="E180" t="s">
        <v>573</v>
      </c>
      <c r="F180" t="s">
        <v>59</v>
      </c>
      <c r="G180" t="s">
        <v>139</v>
      </c>
      <c r="H180" t="s">
        <v>564</v>
      </c>
      <c r="I180" s="2">
        <v>55990</v>
      </c>
      <c r="J180" s="2">
        <v>55990</v>
      </c>
      <c r="K180" s="2">
        <v>0</v>
      </c>
      <c r="L180" s="3">
        <v>0</v>
      </c>
      <c r="M180" t="s">
        <v>92</v>
      </c>
      <c r="N180" t="s">
        <v>54</v>
      </c>
      <c r="O180" t="s">
        <v>93</v>
      </c>
      <c r="P180" s="2">
        <v>27990</v>
      </c>
      <c r="Q180" s="3">
        <v>200.04</v>
      </c>
      <c r="R180" t="s">
        <v>94</v>
      </c>
      <c r="S180" t="s">
        <v>95</v>
      </c>
      <c r="T180" s="3">
        <v>0</v>
      </c>
      <c r="U180" s="3">
        <v>21.26</v>
      </c>
      <c r="V180" s="3">
        <v>80</v>
      </c>
      <c r="W180" s="3">
        <v>100</v>
      </c>
      <c r="X180" s="3">
        <v>45.32</v>
      </c>
      <c r="AA180">
        <v>46265</v>
      </c>
    </row>
    <row r="181" spans="1:27">
      <c r="A181" t="s">
        <v>574</v>
      </c>
      <c r="B181">
        <v>46265</v>
      </c>
      <c r="C181" t="s">
        <v>58</v>
      </c>
      <c r="D181" t="s">
        <v>575</v>
      </c>
      <c r="E181" t="s">
        <v>576</v>
      </c>
      <c r="F181" t="s">
        <v>59</v>
      </c>
      <c r="G181" t="s">
        <v>577</v>
      </c>
      <c r="H181" t="s">
        <v>564</v>
      </c>
      <c r="I181" s="2">
        <v>43990</v>
      </c>
      <c r="J181" s="2">
        <v>43990</v>
      </c>
      <c r="K181" s="2">
        <v>0</v>
      </c>
      <c r="L181" s="3">
        <v>0</v>
      </c>
      <c r="M181" t="s">
        <v>92</v>
      </c>
      <c r="N181" t="s">
        <v>54</v>
      </c>
      <c r="O181" t="s">
        <v>93</v>
      </c>
      <c r="P181" s="2">
        <v>27990</v>
      </c>
      <c r="Q181" s="3">
        <v>157.16</v>
      </c>
      <c r="R181" t="s">
        <v>94</v>
      </c>
      <c r="S181" t="s">
        <v>95</v>
      </c>
      <c r="T181" s="3">
        <v>0</v>
      </c>
      <c r="U181" s="3">
        <v>21.26</v>
      </c>
      <c r="V181" s="3">
        <v>80</v>
      </c>
      <c r="W181" s="3">
        <v>100</v>
      </c>
      <c r="X181" s="3">
        <v>45.32</v>
      </c>
      <c r="AA181">
        <v>46265</v>
      </c>
    </row>
    <row r="182" spans="1:27">
      <c r="A182" t="s">
        <v>578</v>
      </c>
      <c r="B182">
        <v>46265</v>
      </c>
      <c r="C182" t="s">
        <v>58</v>
      </c>
      <c r="D182" t="s">
        <v>575</v>
      </c>
      <c r="E182" t="s">
        <v>579</v>
      </c>
      <c r="F182" t="s">
        <v>59</v>
      </c>
      <c r="G182" t="s">
        <v>577</v>
      </c>
      <c r="H182" t="s">
        <v>564</v>
      </c>
      <c r="I182" s="2">
        <v>43990</v>
      </c>
      <c r="J182" s="2">
        <v>43990</v>
      </c>
      <c r="K182" s="2">
        <v>0</v>
      </c>
      <c r="L182" s="3">
        <v>0</v>
      </c>
      <c r="M182" t="s">
        <v>92</v>
      </c>
      <c r="N182" t="s">
        <v>54</v>
      </c>
      <c r="O182" t="s">
        <v>93</v>
      </c>
      <c r="P182" s="2">
        <v>27990</v>
      </c>
      <c r="Q182" s="3">
        <v>157.16</v>
      </c>
      <c r="R182" t="s">
        <v>94</v>
      </c>
      <c r="S182" t="s">
        <v>95</v>
      </c>
      <c r="T182" s="3">
        <v>0</v>
      </c>
      <c r="U182" s="3">
        <v>21.26</v>
      </c>
      <c r="V182" s="3">
        <v>80</v>
      </c>
      <c r="W182" s="3">
        <v>100</v>
      </c>
      <c r="X182" s="3">
        <v>45.32</v>
      </c>
      <c r="AA182">
        <v>46265</v>
      </c>
    </row>
    <row r="183" spans="1:27">
      <c r="A183" t="s">
        <v>580</v>
      </c>
      <c r="B183">
        <v>46265</v>
      </c>
      <c r="C183" t="s">
        <v>58</v>
      </c>
      <c r="D183" t="s">
        <v>562</v>
      </c>
      <c r="E183" t="s">
        <v>581</v>
      </c>
      <c r="F183" t="s">
        <v>59</v>
      </c>
      <c r="G183" t="s">
        <v>139</v>
      </c>
      <c r="H183" t="s">
        <v>564</v>
      </c>
      <c r="I183" s="2">
        <v>45990</v>
      </c>
      <c r="J183" s="2">
        <v>45990</v>
      </c>
      <c r="K183" s="2">
        <v>0</v>
      </c>
      <c r="L183" s="3">
        <v>0</v>
      </c>
      <c r="M183" t="s">
        <v>92</v>
      </c>
      <c r="N183" t="s">
        <v>54</v>
      </c>
      <c r="O183" t="s">
        <v>93</v>
      </c>
      <c r="P183" s="2">
        <v>27990</v>
      </c>
      <c r="Q183" s="3">
        <v>164.31</v>
      </c>
      <c r="R183" t="s">
        <v>94</v>
      </c>
      <c r="S183" t="s">
        <v>95</v>
      </c>
      <c r="T183" s="3">
        <v>0</v>
      </c>
      <c r="U183" s="3">
        <v>21.26</v>
      </c>
      <c r="V183" s="3">
        <v>80</v>
      </c>
      <c r="W183" s="3">
        <v>100</v>
      </c>
      <c r="X183" s="3">
        <v>45.32</v>
      </c>
      <c r="AA183">
        <v>46265</v>
      </c>
    </row>
    <row r="184" spans="1:27">
      <c r="A184" t="s">
        <v>582</v>
      </c>
      <c r="B184">
        <v>46265</v>
      </c>
      <c r="C184" t="s">
        <v>58</v>
      </c>
      <c r="D184" t="s">
        <v>393</v>
      </c>
      <c r="E184" t="s">
        <v>583</v>
      </c>
      <c r="F184" t="s">
        <v>59</v>
      </c>
      <c r="G184" t="s">
        <v>139</v>
      </c>
      <c r="H184" t="s">
        <v>564</v>
      </c>
      <c r="I184" s="2">
        <v>45990</v>
      </c>
      <c r="J184" s="2">
        <v>45990</v>
      </c>
      <c r="K184" s="2">
        <v>0</v>
      </c>
      <c r="L184" s="3">
        <v>0</v>
      </c>
      <c r="M184" t="s">
        <v>92</v>
      </c>
      <c r="N184" t="s">
        <v>54</v>
      </c>
      <c r="O184" t="s">
        <v>93</v>
      </c>
      <c r="P184" s="2">
        <v>27990</v>
      </c>
      <c r="Q184" s="3">
        <v>164.31</v>
      </c>
      <c r="R184" t="s">
        <v>94</v>
      </c>
      <c r="S184" t="s">
        <v>95</v>
      </c>
      <c r="T184" s="3">
        <v>0</v>
      </c>
      <c r="U184" s="3">
        <v>21.26</v>
      </c>
      <c r="V184" s="3">
        <v>80</v>
      </c>
      <c r="W184" s="3">
        <v>100</v>
      </c>
      <c r="X184" s="3">
        <v>45.32</v>
      </c>
      <c r="AA184">
        <v>46265</v>
      </c>
    </row>
    <row r="185" spans="1:27">
      <c r="A185" t="s">
        <v>584</v>
      </c>
      <c r="B185">
        <v>46265</v>
      </c>
      <c r="C185" t="s">
        <v>58</v>
      </c>
      <c r="D185" t="s">
        <v>562</v>
      </c>
      <c r="E185" t="s">
        <v>585</v>
      </c>
      <c r="F185" t="s">
        <v>59</v>
      </c>
      <c r="G185" t="s">
        <v>139</v>
      </c>
      <c r="H185" t="s">
        <v>564</v>
      </c>
      <c r="I185" s="2">
        <v>43990</v>
      </c>
      <c r="J185" s="2">
        <v>43990</v>
      </c>
      <c r="K185" s="2">
        <v>0</v>
      </c>
      <c r="L185" s="3">
        <v>0</v>
      </c>
      <c r="M185" t="s">
        <v>92</v>
      </c>
      <c r="N185" t="s">
        <v>54</v>
      </c>
      <c r="O185" t="s">
        <v>93</v>
      </c>
      <c r="P185" s="2">
        <v>27990</v>
      </c>
      <c r="Q185" s="3">
        <v>157.16</v>
      </c>
      <c r="R185" t="s">
        <v>94</v>
      </c>
      <c r="S185" t="s">
        <v>95</v>
      </c>
      <c r="T185" s="3">
        <v>0</v>
      </c>
      <c r="U185" s="3">
        <v>21.26</v>
      </c>
      <c r="V185" s="3">
        <v>80</v>
      </c>
      <c r="W185" s="3">
        <v>100</v>
      </c>
      <c r="X185" s="3">
        <v>45.32</v>
      </c>
      <c r="AA185">
        <v>46265</v>
      </c>
    </row>
    <row r="186" spans="1:27">
      <c r="A186" t="s">
        <v>586</v>
      </c>
      <c r="B186">
        <v>46265</v>
      </c>
      <c r="C186" t="s">
        <v>58</v>
      </c>
      <c r="D186" t="s">
        <v>562</v>
      </c>
      <c r="E186" t="s">
        <v>587</v>
      </c>
      <c r="F186" t="s">
        <v>59</v>
      </c>
      <c r="G186" t="s">
        <v>139</v>
      </c>
      <c r="H186" t="s">
        <v>564</v>
      </c>
      <c r="I186" s="2">
        <v>45990</v>
      </c>
      <c r="J186" s="2">
        <v>45990</v>
      </c>
      <c r="K186" s="2">
        <v>0</v>
      </c>
      <c r="L186" s="3">
        <v>0</v>
      </c>
      <c r="M186" t="s">
        <v>92</v>
      </c>
      <c r="N186" t="s">
        <v>54</v>
      </c>
      <c r="O186" t="s">
        <v>93</v>
      </c>
      <c r="P186" s="2">
        <v>27990</v>
      </c>
      <c r="Q186" s="3">
        <v>164.31</v>
      </c>
      <c r="R186" t="s">
        <v>94</v>
      </c>
      <c r="S186" t="s">
        <v>95</v>
      </c>
      <c r="T186" s="3">
        <v>0</v>
      </c>
      <c r="U186" s="3">
        <v>21.26</v>
      </c>
      <c r="V186" s="3">
        <v>80</v>
      </c>
      <c r="W186" s="3">
        <v>100</v>
      </c>
      <c r="X186" s="3">
        <v>45.32</v>
      </c>
      <c r="AA186">
        <v>46265</v>
      </c>
    </row>
    <row r="187" spans="1:27">
      <c r="A187" t="s">
        <v>588</v>
      </c>
      <c r="B187">
        <v>46265</v>
      </c>
      <c r="C187" t="s">
        <v>58</v>
      </c>
      <c r="D187" t="s">
        <v>589</v>
      </c>
      <c r="E187" t="s">
        <v>590</v>
      </c>
      <c r="F187" t="s">
        <v>59</v>
      </c>
      <c r="G187" t="s">
        <v>139</v>
      </c>
      <c r="H187" t="s">
        <v>564</v>
      </c>
      <c r="I187" s="2">
        <v>47990</v>
      </c>
      <c r="J187" s="2">
        <v>47990</v>
      </c>
      <c r="K187" s="2">
        <v>0</v>
      </c>
      <c r="L187" s="3">
        <v>0</v>
      </c>
      <c r="M187" t="s">
        <v>92</v>
      </c>
      <c r="N187" t="s">
        <v>54</v>
      </c>
      <c r="O187" t="s">
        <v>93</v>
      </c>
      <c r="P187" s="2">
        <v>27990</v>
      </c>
      <c r="Q187" s="3">
        <v>171.45</v>
      </c>
      <c r="R187" t="s">
        <v>94</v>
      </c>
      <c r="S187" t="s">
        <v>95</v>
      </c>
      <c r="T187" s="3">
        <v>0</v>
      </c>
      <c r="U187" s="3">
        <v>21.26</v>
      </c>
      <c r="V187" s="3">
        <v>80</v>
      </c>
      <c r="W187" s="3">
        <v>100</v>
      </c>
      <c r="X187" s="3">
        <v>45.32</v>
      </c>
      <c r="AA187">
        <v>46265</v>
      </c>
    </row>
    <row r="188" spans="1:27">
      <c r="A188" t="s">
        <v>591</v>
      </c>
      <c r="B188">
        <v>46265</v>
      </c>
      <c r="C188" t="s">
        <v>58</v>
      </c>
      <c r="D188" t="s">
        <v>589</v>
      </c>
      <c r="E188" t="s">
        <v>592</v>
      </c>
      <c r="F188" t="s">
        <v>59</v>
      </c>
      <c r="G188" t="s">
        <v>139</v>
      </c>
      <c r="H188" t="s">
        <v>564</v>
      </c>
      <c r="I188" s="2">
        <v>48990</v>
      </c>
      <c r="J188" s="2">
        <v>48990</v>
      </c>
      <c r="K188" s="2">
        <v>0</v>
      </c>
      <c r="L188" s="3">
        <v>0</v>
      </c>
      <c r="M188" t="s">
        <v>92</v>
      </c>
      <c r="N188" t="s">
        <v>54</v>
      </c>
      <c r="O188" t="s">
        <v>93</v>
      </c>
      <c r="P188" s="2">
        <v>27990</v>
      </c>
      <c r="Q188" s="3">
        <v>175.03</v>
      </c>
      <c r="R188" t="s">
        <v>94</v>
      </c>
      <c r="S188" t="s">
        <v>95</v>
      </c>
      <c r="T188" s="3">
        <v>0</v>
      </c>
      <c r="U188" s="3">
        <v>21.26</v>
      </c>
      <c r="V188" s="3">
        <v>80</v>
      </c>
      <c r="W188" s="3">
        <v>100</v>
      </c>
      <c r="X188" s="3">
        <v>45.32</v>
      </c>
      <c r="AA188">
        <v>46265</v>
      </c>
    </row>
    <row r="189" spans="1:27">
      <c r="A189" t="s">
        <v>593</v>
      </c>
      <c r="B189">
        <v>46265</v>
      </c>
      <c r="C189" t="s">
        <v>58</v>
      </c>
      <c r="D189" t="s">
        <v>562</v>
      </c>
      <c r="E189" t="s">
        <v>594</v>
      </c>
      <c r="F189" t="s">
        <v>59</v>
      </c>
      <c r="G189" t="s">
        <v>139</v>
      </c>
      <c r="H189" t="s">
        <v>564</v>
      </c>
      <c r="I189" s="2">
        <v>47990</v>
      </c>
      <c r="J189" s="2">
        <v>47990</v>
      </c>
      <c r="K189" s="2">
        <v>0</v>
      </c>
      <c r="L189" s="3">
        <v>0</v>
      </c>
      <c r="M189" t="s">
        <v>92</v>
      </c>
      <c r="N189" t="s">
        <v>54</v>
      </c>
      <c r="O189" t="s">
        <v>93</v>
      </c>
      <c r="P189" s="2">
        <v>27990</v>
      </c>
      <c r="Q189" s="3">
        <v>171.45</v>
      </c>
      <c r="R189" t="s">
        <v>94</v>
      </c>
      <c r="S189" t="s">
        <v>95</v>
      </c>
      <c r="T189" s="3">
        <v>0</v>
      </c>
      <c r="U189" s="3">
        <v>21.26</v>
      </c>
      <c r="V189" s="3">
        <v>80</v>
      </c>
      <c r="W189" s="3">
        <v>100</v>
      </c>
      <c r="X189" s="3">
        <v>45.32</v>
      </c>
      <c r="AA189">
        <v>46265</v>
      </c>
    </row>
    <row r="190" spans="1:27">
      <c r="A190" t="s">
        <v>595</v>
      </c>
      <c r="B190">
        <v>46265</v>
      </c>
      <c r="C190" t="s">
        <v>58</v>
      </c>
      <c r="D190" t="s">
        <v>596</v>
      </c>
      <c r="E190" t="s">
        <v>597</v>
      </c>
      <c r="F190" t="s">
        <v>59</v>
      </c>
      <c r="G190" t="s">
        <v>577</v>
      </c>
      <c r="H190" t="s">
        <v>564</v>
      </c>
      <c r="I190" s="2">
        <v>39990</v>
      </c>
      <c r="J190" s="2">
        <v>39990</v>
      </c>
      <c r="K190" s="2">
        <v>0</v>
      </c>
      <c r="L190" s="3">
        <v>0</v>
      </c>
      <c r="M190" t="s">
        <v>92</v>
      </c>
      <c r="N190" t="s">
        <v>54</v>
      </c>
      <c r="O190" t="s">
        <v>93</v>
      </c>
      <c r="P190" s="2">
        <v>27990</v>
      </c>
      <c r="Q190" s="3">
        <v>142.87</v>
      </c>
      <c r="R190" t="s">
        <v>94</v>
      </c>
      <c r="S190" t="s">
        <v>95</v>
      </c>
      <c r="T190" s="3">
        <v>0</v>
      </c>
      <c r="U190" s="3">
        <v>21.26</v>
      </c>
      <c r="V190" s="3">
        <v>80</v>
      </c>
      <c r="W190" s="3">
        <v>100</v>
      </c>
      <c r="X190" s="3">
        <v>45.32</v>
      </c>
      <c r="AA190">
        <v>46265</v>
      </c>
    </row>
    <row r="191" spans="1:27">
      <c r="A191" t="s">
        <v>598</v>
      </c>
      <c r="B191">
        <v>46265</v>
      </c>
      <c r="C191" t="s">
        <v>58</v>
      </c>
      <c r="D191" t="s">
        <v>589</v>
      </c>
      <c r="E191" t="s">
        <v>599</v>
      </c>
      <c r="F191" t="s">
        <v>59</v>
      </c>
      <c r="G191" t="s">
        <v>139</v>
      </c>
      <c r="H191" t="s">
        <v>564</v>
      </c>
      <c r="I191" s="2">
        <v>48990</v>
      </c>
      <c r="J191" s="2">
        <v>48990</v>
      </c>
      <c r="K191" s="2">
        <v>0</v>
      </c>
      <c r="L191" s="3">
        <v>0</v>
      </c>
      <c r="M191" t="s">
        <v>92</v>
      </c>
      <c r="N191" t="s">
        <v>54</v>
      </c>
      <c r="O191" t="s">
        <v>93</v>
      </c>
      <c r="P191" s="2">
        <v>27990</v>
      </c>
      <c r="Q191" s="3">
        <v>175.03</v>
      </c>
      <c r="R191" t="s">
        <v>94</v>
      </c>
      <c r="S191" t="s">
        <v>95</v>
      </c>
      <c r="T191" s="3">
        <v>0</v>
      </c>
      <c r="U191" s="3">
        <v>21.26</v>
      </c>
      <c r="V191" s="3">
        <v>80</v>
      </c>
      <c r="W191" s="3">
        <v>100</v>
      </c>
      <c r="X191" s="3">
        <v>45.32</v>
      </c>
      <c r="AA191">
        <v>46265</v>
      </c>
    </row>
    <row r="192" spans="1:27">
      <c r="A192" t="s">
        <v>600</v>
      </c>
      <c r="B192">
        <v>46265</v>
      </c>
      <c r="C192" t="s">
        <v>58</v>
      </c>
      <c r="D192" t="s">
        <v>562</v>
      </c>
      <c r="E192" t="s">
        <v>601</v>
      </c>
      <c r="F192" t="s">
        <v>59</v>
      </c>
      <c r="G192" t="s">
        <v>139</v>
      </c>
      <c r="H192" t="s">
        <v>564</v>
      </c>
      <c r="I192" s="2">
        <v>47990</v>
      </c>
      <c r="J192" s="2">
        <v>47990</v>
      </c>
      <c r="K192" s="2">
        <v>0</v>
      </c>
      <c r="L192" s="3">
        <v>0</v>
      </c>
      <c r="M192" t="s">
        <v>92</v>
      </c>
      <c r="N192" t="s">
        <v>54</v>
      </c>
      <c r="O192" t="s">
        <v>93</v>
      </c>
      <c r="P192" s="2">
        <v>27990</v>
      </c>
      <c r="Q192" s="3">
        <v>171.45</v>
      </c>
      <c r="R192" t="s">
        <v>94</v>
      </c>
      <c r="S192" t="s">
        <v>95</v>
      </c>
      <c r="T192" s="3">
        <v>0</v>
      </c>
      <c r="U192" s="3">
        <v>21.26</v>
      </c>
      <c r="V192" s="3">
        <v>80</v>
      </c>
      <c r="W192" s="3">
        <v>100</v>
      </c>
      <c r="X192" s="3">
        <v>45.32</v>
      </c>
      <c r="AA192">
        <v>46265</v>
      </c>
    </row>
    <row r="193" spans="1:27">
      <c r="A193" t="s">
        <v>602</v>
      </c>
      <c r="B193">
        <v>46265</v>
      </c>
      <c r="C193" t="s">
        <v>58</v>
      </c>
      <c r="D193" t="s">
        <v>596</v>
      </c>
      <c r="E193" t="s">
        <v>603</v>
      </c>
      <c r="F193" t="s">
        <v>59</v>
      </c>
      <c r="G193" t="s">
        <v>577</v>
      </c>
      <c r="H193" t="s">
        <v>564</v>
      </c>
      <c r="I193" s="2">
        <v>39990</v>
      </c>
      <c r="J193" s="2">
        <v>39990</v>
      </c>
      <c r="K193" s="2">
        <v>0</v>
      </c>
      <c r="L193" s="3">
        <v>0</v>
      </c>
      <c r="M193" t="s">
        <v>92</v>
      </c>
      <c r="N193" t="s">
        <v>54</v>
      </c>
      <c r="O193" t="s">
        <v>93</v>
      </c>
      <c r="P193" s="2">
        <v>27990</v>
      </c>
      <c r="Q193" s="3">
        <v>142.87</v>
      </c>
      <c r="R193" t="s">
        <v>94</v>
      </c>
      <c r="S193" t="s">
        <v>95</v>
      </c>
      <c r="T193" s="3">
        <v>0</v>
      </c>
      <c r="U193" s="3">
        <v>21.26</v>
      </c>
      <c r="V193" s="3">
        <v>80</v>
      </c>
      <c r="W193" s="3">
        <v>100</v>
      </c>
      <c r="X193" s="3">
        <v>45.32</v>
      </c>
      <c r="AA193">
        <v>46265</v>
      </c>
    </row>
    <row r="194" spans="1:27">
      <c r="A194" t="s">
        <v>604</v>
      </c>
      <c r="B194">
        <v>46265</v>
      </c>
      <c r="C194" t="s">
        <v>58</v>
      </c>
      <c r="D194" t="s">
        <v>589</v>
      </c>
      <c r="E194" t="s">
        <v>605</v>
      </c>
      <c r="F194" t="s">
        <v>59</v>
      </c>
      <c r="G194" t="s">
        <v>139</v>
      </c>
      <c r="H194" t="s">
        <v>564</v>
      </c>
      <c r="I194" s="2">
        <v>47990</v>
      </c>
      <c r="J194" s="2">
        <v>47990</v>
      </c>
      <c r="K194" s="2">
        <v>0</v>
      </c>
      <c r="L194" s="3">
        <v>0</v>
      </c>
      <c r="M194" t="s">
        <v>92</v>
      </c>
      <c r="N194" t="s">
        <v>54</v>
      </c>
      <c r="O194" t="s">
        <v>93</v>
      </c>
      <c r="P194" s="2">
        <v>27990</v>
      </c>
      <c r="Q194" s="3">
        <v>171.45</v>
      </c>
      <c r="R194" t="s">
        <v>94</v>
      </c>
      <c r="S194" t="s">
        <v>95</v>
      </c>
      <c r="T194" s="3">
        <v>0</v>
      </c>
      <c r="U194" s="3">
        <v>21.26</v>
      </c>
      <c r="V194" s="3">
        <v>80</v>
      </c>
      <c r="W194" s="3">
        <v>100</v>
      </c>
      <c r="X194" s="3">
        <v>45.32</v>
      </c>
      <c r="AA194">
        <v>46265</v>
      </c>
    </row>
    <row r="195" spans="1:27">
      <c r="A195" t="s">
        <v>606</v>
      </c>
      <c r="B195">
        <v>46265</v>
      </c>
      <c r="C195" t="s">
        <v>58</v>
      </c>
      <c r="D195" t="s">
        <v>562</v>
      </c>
      <c r="E195" t="s">
        <v>607</v>
      </c>
      <c r="F195" t="s">
        <v>59</v>
      </c>
      <c r="G195" t="s">
        <v>139</v>
      </c>
      <c r="H195" t="s">
        <v>564</v>
      </c>
      <c r="I195" s="2">
        <v>53990</v>
      </c>
      <c r="J195" s="2">
        <v>53990</v>
      </c>
      <c r="K195" s="2">
        <v>0</v>
      </c>
      <c r="L195" s="3">
        <v>0</v>
      </c>
      <c r="M195" t="s">
        <v>92</v>
      </c>
      <c r="N195" t="s">
        <v>54</v>
      </c>
      <c r="O195" t="s">
        <v>93</v>
      </c>
      <c r="P195" s="2">
        <v>27990</v>
      </c>
      <c r="Q195" s="3">
        <v>192.89</v>
      </c>
      <c r="R195" t="s">
        <v>94</v>
      </c>
      <c r="S195" t="s">
        <v>95</v>
      </c>
      <c r="T195" s="3">
        <v>0</v>
      </c>
      <c r="U195" s="3">
        <v>21.26</v>
      </c>
      <c r="V195" s="3">
        <v>80</v>
      </c>
      <c r="W195" s="3">
        <v>100</v>
      </c>
      <c r="X195" s="3">
        <v>45.32</v>
      </c>
      <c r="AA195">
        <v>46265</v>
      </c>
    </row>
    <row r="196" spans="1:27">
      <c r="A196" t="s">
        <v>608</v>
      </c>
      <c r="B196">
        <v>46265</v>
      </c>
      <c r="C196" t="s">
        <v>58</v>
      </c>
      <c r="D196" t="s">
        <v>562</v>
      </c>
      <c r="E196" t="s">
        <v>609</v>
      </c>
      <c r="F196" t="s">
        <v>59</v>
      </c>
      <c r="G196" t="s">
        <v>139</v>
      </c>
      <c r="H196" t="s">
        <v>564</v>
      </c>
      <c r="I196" s="2">
        <v>36990</v>
      </c>
      <c r="J196" s="2">
        <v>36990</v>
      </c>
      <c r="K196" s="2">
        <v>0</v>
      </c>
      <c r="L196" s="3">
        <v>0</v>
      </c>
      <c r="M196" t="s">
        <v>92</v>
      </c>
      <c r="N196" t="s">
        <v>54</v>
      </c>
      <c r="O196" t="s">
        <v>93</v>
      </c>
      <c r="P196" s="2">
        <v>27990</v>
      </c>
      <c r="Q196" s="3">
        <v>132.15</v>
      </c>
      <c r="R196" t="s">
        <v>94</v>
      </c>
      <c r="S196" t="s">
        <v>95</v>
      </c>
      <c r="T196" s="3">
        <v>0</v>
      </c>
      <c r="U196" s="3">
        <v>21.26</v>
      </c>
      <c r="V196" s="3">
        <v>80</v>
      </c>
      <c r="W196" s="3">
        <v>100</v>
      </c>
      <c r="X196" s="3">
        <v>45.32</v>
      </c>
      <c r="AA196">
        <v>46265</v>
      </c>
    </row>
    <row r="197" spans="1:27">
      <c r="A197" t="s">
        <v>610</v>
      </c>
      <c r="B197">
        <v>46265</v>
      </c>
      <c r="C197" t="s">
        <v>58</v>
      </c>
      <c r="D197" t="s">
        <v>562</v>
      </c>
      <c r="E197" t="s">
        <v>611</v>
      </c>
      <c r="F197" t="s">
        <v>59</v>
      </c>
      <c r="G197" t="s">
        <v>139</v>
      </c>
      <c r="H197" t="s">
        <v>564</v>
      </c>
      <c r="I197" s="2">
        <v>45990</v>
      </c>
      <c r="J197" s="2">
        <v>45990</v>
      </c>
      <c r="K197" s="2">
        <v>0</v>
      </c>
      <c r="L197" s="3">
        <v>0</v>
      </c>
      <c r="M197" t="s">
        <v>92</v>
      </c>
      <c r="N197" t="s">
        <v>54</v>
      </c>
      <c r="O197" t="s">
        <v>93</v>
      </c>
      <c r="P197" s="2">
        <v>27990</v>
      </c>
      <c r="Q197" s="3">
        <v>164.31</v>
      </c>
      <c r="R197" t="s">
        <v>94</v>
      </c>
      <c r="S197" t="s">
        <v>95</v>
      </c>
      <c r="T197" s="3">
        <v>0</v>
      </c>
      <c r="U197" s="3">
        <v>21.26</v>
      </c>
      <c r="V197" s="3">
        <v>80</v>
      </c>
      <c r="W197" s="3">
        <v>100</v>
      </c>
      <c r="X197" s="3">
        <v>45.32</v>
      </c>
      <c r="AA197">
        <v>46265</v>
      </c>
    </row>
    <row r="198" spans="1:27">
      <c r="A198" t="s">
        <v>612</v>
      </c>
      <c r="B198">
        <v>46265</v>
      </c>
      <c r="C198" t="s">
        <v>58</v>
      </c>
      <c r="D198" t="s">
        <v>562</v>
      </c>
      <c r="E198" t="s">
        <v>613</v>
      </c>
      <c r="F198" t="s">
        <v>59</v>
      </c>
      <c r="G198" t="s">
        <v>139</v>
      </c>
      <c r="H198" t="s">
        <v>564</v>
      </c>
      <c r="I198" s="2">
        <v>48990</v>
      </c>
      <c r="J198" s="2">
        <v>48990</v>
      </c>
      <c r="K198" s="2">
        <v>0</v>
      </c>
      <c r="L198" s="3">
        <v>0</v>
      </c>
      <c r="M198" t="s">
        <v>92</v>
      </c>
      <c r="N198" t="s">
        <v>54</v>
      </c>
      <c r="O198" t="s">
        <v>93</v>
      </c>
      <c r="P198" s="2">
        <v>27990</v>
      </c>
      <c r="Q198" s="3">
        <v>175.03</v>
      </c>
      <c r="R198" t="s">
        <v>94</v>
      </c>
      <c r="S198" t="s">
        <v>95</v>
      </c>
      <c r="T198" s="3">
        <v>0</v>
      </c>
      <c r="U198" s="3">
        <v>21.26</v>
      </c>
      <c r="V198" s="3">
        <v>80</v>
      </c>
      <c r="W198" s="3">
        <v>100</v>
      </c>
      <c r="X198" s="3">
        <v>45.32</v>
      </c>
      <c r="AA198">
        <v>46265</v>
      </c>
    </row>
    <row r="199" spans="1:27">
      <c r="A199" t="s">
        <v>614</v>
      </c>
      <c r="B199">
        <v>46265</v>
      </c>
      <c r="C199" t="s">
        <v>58</v>
      </c>
      <c r="D199" t="s">
        <v>615</v>
      </c>
      <c r="E199" t="s">
        <v>616</v>
      </c>
      <c r="F199" t="s">
        <v>59</v>
      </c>
      <c r="G199" t="s">
        <v>139</v>
      </c>
      <c r="H199" t="s">
        <v>564</v>
      </c>
      <c r="I199" s="2">
        <v>26990</v>
      </c>
      <c r="J199" s="2">
        <v>26990</v>
      </c>
      <c r="K199" s="2">
        <v>0</v>
      </c>
      <c r="L199" s="3">
        <v>0</v>
      </c>
      <c r="M199" t="s">
        <v>92</v>
      </c>
      <c r="N199" t="s">
        <v>53</v>
      </c>
      <c r="O199" t="s">
        <v>93</v>
      </c>
      <c r="P199" s="2">
        <v>27990</v>
      </c>
      <c r="Q199" s="3">
        <v>96.43</v>
      </c>
      <c r="R199" t="s">
        <v>94</v>
      </c>
      <c r="S199" t="s">
        <v>95</v>
      </c>
      <c r="T199" s="3">
        <v>0</v>
      </c>
      <c r="U199" s="3">
        <v>21.26</v>
      </c>
      <c r="V199" s="3">
        <v>80</v>
      </c>
      <c r="W199" s="3">
        <v>100</v>
      </c>
      <c r="X199" s="3">
        <v>45.32</v>
      </c>
      <c r="AA199">
        <v>46265</v>
      </c>
    </row>
    <row r="200" spans="1:27">
      <c r="A200" t="s">
        <v>617</v>
      </c>
      <c r="B200">
        <v>46265</v>
      </c>
      <c r="C200" t="s">
        <v>58</v>
      </c>
      <c r="D200" t="s">
        <v>618</v>
      </c>
      <c r="E200" t="s">
        <v>619</v>
      </c>
      <c r="F200" t="s">
        <v>59</v>
      </c>
      <c r="G200" t="s">
        <v>139</v>
      </c>
      <c r="H200" t="s">
        <v>564</v>
      </c>
      <c r="I200" s="2">
        <v>56990</v>
      </c>
      <c r="J200" s="2">
        <v>56990</v>
      </c>
      <c r="K200" s="2">
        <v>0</v>
      </c>
      <c r="L200" s="3">
        <v>0</v>
      </c>
      <c r="M200" t="s">
        <v>92</v>
      </c>
      <c r="N200" t="s">
        <v>54</v>
      </c>
      <c r="O200" t="s">
        <v>93</v>
      </c>
      <c r="P200" s="2">
        <v>27990</v>
      </c>
      <c r="Q200" s="3">
        <v>203.61</v>
      </c>
      <c r="R200" t="s">
        <v>94</v>
      </c>
      <c r="S200" t="s">
        <v>95</v>
      </c>
      <c r="T200" s="3">
        <v>0</v>
      </c>
      <c r="U200" s="3">
        <v>21.26</v>
      </c>
      <c r="V200" s="3">
        <v>80</v>
      </c>
      <c r="W200" s="3">
        <v>100</v>
      </c>
      <c r="X200" s="3">
        <v>45.32</v>
      </c>
      <c r="AA200">
        <v>46265</v>
      </c>
    </row>
    <row r="201" spans="1:27">
      <c r="A201" t="s">
        <v>620</v>
      </c>
      <c r="B201">
        <v>46265</v>
      </c>
      <c r="C201" t="s">
        <v>58</v>
      </c>
      <c r="D201" t="s">
        <v>618</v>
      </c>
      <c r="E201" t="s">
        <v>621</v>
      </c>
      <c r="F201" t="s">
        <v>59</v>
      </c>
      <c r="G201" t="s">
        <v>139</v>
      </c>
      <c r="H201" t="s">
        <v>564</v>
      </c>
      <c r="I201" s="2">
        <v>56990</v>
      </c>
      <c r="J201" s="2">
        <v>56990</v>
      </c>
      <c r="K201" s="2">
        <v>0</v>
      </c>
      <c r="L201" s="3">
        <v>0</v>
      </c>
      <c r="M201" t="s">
        <v>92</v>
      </c>
      <c r="N201" t="s">
        <v>54</v>
      </c>
      <c r="O201" t="s">
        <v>93</v>
      </c>
      <c r="P201" s="2">
        <v>27990</v>
      </c>
      <c r="Q201" s="3">
        <v>203.61</v>
      </c>
      <c r="R201" t="s">
        <v>94</v>
      </c>
      <c r="S201" t="s">
        <v>95</v>
      </c>
      <c r="T201" s="3">
        <v>0</v>
      </c>
      <c r="U201" s="3">
        <v>21.26</v>
      </c>
      <c r="V201" s="3">
        <v>80</v>
      </c>
      <c r="W201" s="3">
        <v>100</v>
      </c>
      <c r="X201" s="3">
        <v>45.32</v>
      </c>
      <c r="AA201">
        <v>46265</v>
      </c>
    </row>
    <row r="202" spans="1:27">
      <c r="A202" t="s">
        <v>622</v>
      </c>
      <c r="B202">
        <v>46265</v>
      </c>
      <c r="C202" t="s">
        <v>60</v>
      </c>
      <c r="D202" t="s">
        <v>623</v>
      </c>
      <c r="E202" t="s">
        <v>624</v>
      </c>
      <c r="F202" t="s">
        <v>57</v>
      </c>
      <c r="G202" t="s">
        <v>139</v>
      </c>
      <c r="H202" t="s">
        <v>625</v>
      </c>
      <c r="I202" s="2">
        <v>4499</v>
      </c>
      <c r="J202" s="2">
        <v>4499</v>
      </c>
      <c r="K202" s="2">
        <v>0</v>
      </c>
      <c r="L202" s="3">
        <v>0</v>
      </c>
      <c r="M202" t="s">
        <v>92</v>
      </c>
      <c r="N202" t="s">
        <v>51</v>
      </c>
      <c r="O202" t="s">
        <v>93</v>
      </c>
      <c r="P202" s="2">
        <v>6900</v>
      </c>
      <c r="Q202" s="3">
        <v>65.2</v>
      </c>
      <c r="R202" t="s">
        <v>94</v>
      </c>
      <c r="S202" t="s">
        <v>95</v>
      </c>
      <c r="T202" s="3">
        <v>53.93</v>
      </c>
      <c r="U202" s="3">
        <v>100</v>
      </c>
      <c r="V202" s="3">
        <v>80</v>
      </c>
      <c r="W202" s="3">
        <v>100</v>
      </c>
      <c r="X202" s="3">
        <v>81.180000000000007</v>
      </c>
      <c r="AA202">
        <v>46265</v>
      </c>
    </row>
    <row r="203" spans="1:27">
      <c r="A203" t="s">
        <v>626</v>
      </c>
      <c r="B203">
        <v>46265</v>
      </c>
      <c r="C203" t="s">
        <v>60</v>
      </c>
      <c r="D203" t="s">
        <v>623</v>
      </c>
      <c r="E203" t="s">
        <v>627</v>
      </c>
      <c r="F203" t="s">
        <v>57</v>
      </c>
      <c r="G203" t="s">
        <v>139</v>
      </c>
      <c r="H203" t="s">
        <v>625</v>
      </c>
      <c r="I203" s="2">
        <v>4499</v>
      </c>
      <c r="J203" s="2">
        <v>4499</v>
      </c>
      <c r="K203" s="2">
        <v>0</v>
      </c>
      <c r="L203" s="3">
        <v>0</v>
      </c>
      <c r="M203" t="s">
        <v>92</v>
      </c>
      <c r="N203" t="s">
        <v>51</v>
      </c>
      <c r="O203" t="s">
        <v>93</v>
      </c>
      <c r="P203" s="2">
        <v>6900</v>
      </c>
      <c r="Q203" s="3">
        <v>65.2</v>
      </c>
      <c r="R203" t="s">
        <v>94</v>
      </c>
      <c r="S203" t="s">
        <v>95</v>
      </c>
      <c r="T203" s="3">
        <v>53.93</v>
      </c>
      <c r="U203" s="3">
        <v>100</v>
      </c>
      <c r="V203" s="3">
        <v>80</v>
      </c>
      <c r="W203" s="3">
        <v>100</v>
      </c>
      <c r="X203" s="3">
        <v>81.180000000000007</v>
      </c>
      <c r="AA203">
        <v>46265</v>
      </c>
    </row>
    <row r="204" spans="1:27">
      <c r="A204" t="s">
        <v>628</v>
      </c>
      <c r="B204">
        <v>46265</v>
      </c>
      <c r="C204" t="s">
        <v>60</v>
      </c>
      <c r="D204" t="s">
        <v>623</v>
      </c>
      <c r="E204" t="s">
        <v>629</v>
      </c>
      <c r="F204" t="s">
        <v>57</v>
      </c>
      <c r="G204" t="s">
        <v>139</v>
      </c>
      <c r="H204" t="s">
        <v>625</v>
      </c>
      <c r="I204" s="2">
        <v>4499</v>
      </c>
      <c r="J204" s="2">
        <v>4499</v>
      </c>
      <c r="K204" s="2">
        <v>0</v>
      </c>
      <c r="L204" s="3">
        <v>0</v>
      </c>
      <c r="M204" t="s">
        <v>92</v>
      </c>
      <c r="N204" t="s">
        <v>51</v>
      </c>
      <c r="O204" t="s">
        <v>93</v>
      </c>
      <c r="P204" s="2">
        <v>6900</v>
      </c>
      <c r="Q204" s="3">
        <v>65.2</v>
      </c>
      <c r="R204" t="s">
        <v>94</v>
      </c>
      <c r="S204" t="s">
        <v>95</v>
      </c>
      <c r="T204" s="3">
        <v>53.93</v>
      </c>
      <c r="U204" s="3">
        <v>100</v>
      </c>
      <c r="V204" s="3">
        <v>80</v>
      </c>
      <c r="W204" s="3">
        <v>100</v>
      </c>
      <c r="X204" s="3">
        <v>81.180000000000007</v>
      </c>
      <c r="AA204">
        <v>46265</v>
      </c>
    </row>
    <row r="205" spans="1:27">
      <c r="A205" t="s">
        <v>630</v>
      </c>
      <c r="B205">
        <v>46265</v>
      </c>
      <c r="C205" t="s">
        <v>60</v>
      </c>
      <c r="D205" t="s">
        <v>623</v>
      </c>
      <c r="E205" t="s">
        <v>631</v>
      </c>
      <c r="F205" t="s">
        <v>57</v>
      </c>
      <c r="G205" t="s">
        <v>139</v>
      </c>
      <c r="H205" t="s">
        <v>625</v>
      </c>
      <c r="I205" s="2">
        <v>4499</v>
      </c>
      <c r="J205" s="2">
        <v>4499</v>
      </c>
      <c r="K205" s="2">
        <v>0</v>
      </c>
      <c r="L205" s="3">
        <v>0</v>
      </c>
      <c r="M205" t="s">
        <v>92</v>
      </c>
      <c r="N205" t="s">
        <v>51</v>
      </c>
      <c r="O205" t="s">
        <v>93</v>
      </c>
      <c r="P205" s="2">
        <v>6900</v>
      </c>
      <c r="Q205" s="3">
        <v>65.2</v>
      </c>
      <c r="R205" t="s">
        <v>94</v>
      </c>
      <c r="S205" t="s">
        <v>95</v>
      </c>
      <c r="T205" s="3">
        <v>53.93</v>
      </c>
      <c r="U205" s="3">
        <v>100</v>
      </c>
      <c r="V205" s="3">
        <v>80</v>
      </c>
      <c r="W205" s="3">
        <v>100</v>
      </c>
      <c r="X205" s="3">
        <v>81.180000000000007</v>
      </c>
      <c r="AA205">
        <v>46265</v>
      </c>
    </row>
    <row r="206" spans="1:27">
      <c r="A206" t="s">
        <v>632</v>
      </c>
      <c r="B206">
        <v>46265</v>
      </c>
      <c r="C206" t="s">
        <v>60</v>
      </c>
      <c r="D206" t="s">
        <v>623</v>
      </c>
      <c r="E206" t="s">
        <v>633</v>
      </c>
      <c r="F206" t="s">
        <v>57</v>
      </c>
      <c r="G206" t="s">
        <v>139</v>
      </c>
      <c r="H206" t="s">
        <v>625</v>
      </c>
      <c r="I206" s="2">
        <v>4499</v>
      </c>
      <c r="J206" s="2">
        <v>4499</v>
      </c>
      <c r="K206" s="2">
        <v>0</v>
      </c>
      <c r="L206" s="3">
        <v>0</v>
      </c>
      <c r="M206" t="s">
        <v>92</v>
      </c>
      <c r="N206" t="s">
        <v>51</v>
      </c>
      <c r="O206" t="s">
        <v>93</v>
      </c>
      <c r="P206" s="2">
        <v>6900</v>
      </c>
      <c r="Q206" s="3">
        <v>65.2</v>
      </c>
      <c r="R206" t="s">
        <v>94</v>
      </c>
      <c r="S206" t="s">
        <v>95</v>
      </c>
      <c r="T206" s="3">
        <v>53.93</v>
      </c>
      <c r="U206" s="3">
        <v>100</v>
      </c>
      <c r="V206" s="3">
        <v>80</v>
      </c>
      <c r="W206" s="3">
        <v>100</v>
      </c>
      <c r="X206" s="3">
        <v>81.180000000000007</v>
      </c>
      <c r="AA206">
        <v>46265</v>
      </c>
    </row>
    <row r="207" spans="1:27">
      <c r="A207" t="s">
        <v>634</v>
      </c>
      <c r="B207">
        <v>46265</v>
      </c>
      <c r="C207" t="s">
        <v>60</v>
      </c>
      <c r="D207" t="s">
        <v>623</v>
      </c>
      <c r="E207" t="s">
        <v>635</v>
      </c>
      <c r="F207" t="s">
        <v>57</v>
      </c>
      <c r="G207" t="s">
        <v>139</v>
      </c>
      <c r="H207" t="s">
        <v>625</v>
      </c>
      <c r="I207" s="2">
        <v>4499</v>
      </c>
      <c r="J207" s="2">
        <v>4499</v>
      </c>
      <c r="K207" s="2">
        <v>0</v>
      </c>
      <c r="L207" s="3">
        <v>0</v>
      </c>
      <c r="M207" t="s">
        <v>92</v>
      </c>
      <c r="N207" t="s">
        <v>51</v>
      </c>
      <c r="O207" t="s">
        <v>93</v>
      </c>
      <c r="P207" s="2">
        <v>6900</v>
      </c>
      <c r="Q207" s="3">
        <v>65.2</v>
      </c>
      <c r="R207" t="s">
        <v>94</v>
      </c>
      <c r="S207" t="s">
        <v>95</v>
      </c>
      <c r="T207" s="3">
        <v>53.93</v>
      </c>
      <c r="U207" s="3">
        <v>100</v>
      </c>
      <c r="V207" s="3">
        <v>80</v>
      </c>
      <c r="W207" s="3">
        <v>100</v>
      </c>
      <c r="X207" s="3">
        <v>81.180000000000007</v>
      </c>
      <c r="AA207">
        <v>46265</v>
      </c>
    </row>
    <row r="208" spans="1:27">
      <c r="A208" t="s">
        <v>636</v>
      </c>
      <c r="B208">
        <v>46265</v>
      </c>
      <c r="C208" t="s">
        <v>60</v>
      </c>
      <c r="D208" t="s">
        <v>623</v>
      </c>
      <c r="E208" t="s">
        <v>637</v>
      </c>
      <c r="F208" t="s">
        <v>57</v>
      </c>
      <c r="G208" t="s">
        <v>139</v>
      </c>
      <c r="H208" t="s">
        <v>625</v>
      </c>
      <c r="I208" s="2">
        <v>4499</v>
      </c>
      <c r="J208" s="2">
        <v>4499</v>
      </c>
      <c r="K208" s="2">
        <v>0</v>
      </c>
      <c r="L208" s="3">
        <v>0</v>
      </c>
      <c r="M208" t="s">
        <v>92</v>
      </c>
      <c r="N208" t="s">
        <v>51</v>
      </c>
      <c r="O208" t="s">
        <v>93</v>
      </c>
      <c r="P208" s="2">
        <v>6900</v>
      </c>
      <c r="Q208" s="3">
        <v>65.2</v>
      </c>
      <c r="R208" t="s">
        <v>94</v>
      </c>
      <c r="S208" t="s">
        <v>95</v>
      </c>
      <c r="T208" s="3">
        <v>53.93</v>
      </c>
      <c r="U208" s="3">
        <v>100</v>
      </c>
      <c r="V208" s="3">
        <v>80</v>
      </c>
      <c r="W208" s="3">
        <v>100</v>
      </c>
      <c r="X208" s="3">
        <v>81.180000000000007</v>
      </c>
      <c r="AA208">
        <v>46265</v>
      </c>
    </row>
    <row r="209" spans="1:27">
      <c r="A209" t="s">
        <v>638</v>
      </c>
      <c r="B209">
        <v>46265</v>
      </c>
      <c r="C209" t="s">
        <v>60</v>
      </c>
      <c r="D209" t="s">
        <v>623</v>
      </c>
      <c r="E209" t="s">
        <v>639</v>
      </c>
      <c r="F209" t="s">
        <v>57</v>
      </c>
      <c r="G209" t="s">
        <v>139</v>
      </c>
      <c r="H209" t="s">
        <v>625</v>
      </c>
      <c r="I209" s="2">
        <v>4499</v>
      </c>
      <c r="J209" s="2">
        <v>4499</v>
      </c>
      <c r="K209" s="2">
        <v>0</v>
      </c>
      <c r="L209" s="3">
        <v>0</v>
      </c>
      <c r="M209" t="s">
        <v>92</v>
      </c>
      <c r="N209" t="s">
        <v>51</v>
      </c>
      <c r="O209" t="s">
        <v>93</v>
      </c>
      <c r="P209" s="2">
        <v>6900</v>
      </c>
      <c r="Q209" s="3">
        <v>65.2</v>
      </c>
      <c r="R209" t="s">
        <v>94</v>
      </c>
      <c r="S209" t="s">
        <v>95</v>
      </c>
      <c r="T209" s="3">
        <v>53.93</v>
      </c>
      <c r="U209" s="3">
        <v>100</v>
      </c>
      <c r="V209" s="3">
        <v>80</v>
      </c>
      <c r="W209" s="3">
        <v>100</v>
      </c>
      <c r="X209" s="3">
        <v>81.180000000000007</v>
      </c>
      <c r="AA209">
        <v>46265</v>
      </c>
    </row>
    <row r="210" spans="1:27">
      <c r="A210" t="s">
        <v>640</v>
      </c>
      <c r="B210">
        <v>46265</v>
      </c>
      <c r="C210" t="s">
        <v>60</v>
      </c>
      <c r="D210" t="s">
        <v>641</v>
      </c>
      <c r="E210" t="s">
        <v>642</v>
      </c>
      <c r="F210" t="s">
        <v>57</v>
      </c>
      <c r="G210" t="s">
        <v>126</v>
      </c>
      <c r="H210" t="s">
        <v>625</v>
      </c>
      <c r="I210" s="2">
        <v>2999</v>
      </c>
      <c r="J210" s="2">
        <v>2999</v>
      </c>
      <c r="K210" s="2">
        <v>0</v>
      </c>
      <c r="L210" s="3">
        <v>0</v>
      </c>
      <c r="M210" t="s">
        <v>92</v>
      </c>
      <c r="N210" t="s">
        <v>51</v>
      </c>
      <c r="O210" t="s">
        <v>93</v>
      </c>
      <c r="P210" s="2">
        <v>6900</v>
      </c>
      <c r="Q210" s="3">
        <v>43.46</v>
      </c>
      <c r="R210" t="s">
        <v>94</v>
      </c>
      <c r="S210" t="s">
        <v>95</v>
      </c>
      <c r="T210" s="3">
        <v>53.93</v>
      </c>
      <c r="U210" s="3">
        <v>100</v>
      </c>
      <c r="V210" s="3">
        <v>80</v>
      </c>
      <c r="W210" s="3">
        <v>100</v>
      </c>
      <c r="X210" s="3">
        <v>81.180000000000007</v>
      </c>
      <c r="AA210">
        <v>46265</v>
      </c>
    </row>
    <row r="211" spans="1:27">
      <c r="A211" t="s">
        <v>643</v>
      </c>
      <c r="B211">
        <v>46265</v>
      </c>
      <c r="C211" t="s">
        <v>60</v>
      </c>
      <c r="D211" t="s">
        <v>641</v>
      </c>
      <c r="E211" t="s">
        <v>644</v>
      </c>
      <c r="F211" t="s">
        <v>57</v>
      </c>
      <c r="G211" t="s">
        <v>126</v>
      </c>
      <c r="H211" t="s">
        <v>625</v>
      </c>
      <c r="I211" s="2">
        <v>2999</v>
      </c>
      <c r="J211" s="2">
        <v>2999</v>
      </c>
      <c r="K211" s="2">
        <v>0</v>
      </c>
      <c r="L211" s="3">
        <v>0</v>
      </c>
      <c r="M211" t="s">
        <v>92</v>
      </c>
      <c r="N211" t="s">
        <v>51</v>
      </c>
      <c r="O211" t="s">
        <v>93</v>
      </c>
      <c r="P211" s="2">
        <v>6900</v>
      </c>
      <c r="Q211" s="3">
        <v>43.46</v>
      </c>
      <c r="R211" t="s">
        <v>94</v>
      </c>
      <c r="S211" t="s">
        <v>95</v>
      </c>
      <c r="T211" s="3">
        <v>53.93</v>
      </c>
      <c r="U211" s="3">
        <v>100</v>
      </c>
      <c r="V211" s="3">
        <v>80</v>
      </c>
      <c r="W211" s="3">
        <v>100</v>
      </c>
      <c r="X211" s="3">
        <v>81.180000000000007</v>
      </c>
      <c r="AA211">
        <v>46265</v>
      </c>
    </row>
    <row r="212" spans="1:27">
      <c r="A212" t="s">
        <v>645</v>
      </c>
      <c r="B212">
        <v>46265</v>
      </c>
      <c r="C212" t="s">
        <v>60</v>
      </c>
      <c r="D212" t="s">
        <v>641</v>
      </c>
      <c r="E212" t="s">
        <v>646</v>
      </c>
      <c r="F212" t="s">
        <v>57</v>
      </c>
      <c r="G212" t="s">
        <v>126</v>
      </c>
      <c r="H212" t="s">
        <v>625</v>
      </c>
      <c r="I212" s="2">
        <v>2999</v>
      </c>
      <c r="J212" s="2">
        <v>2999</v>
      </c>
      <c r="K212" s="2">
        <v>0</v>
      </c>
      <c r="L212" s="3">
        <v>0</v>
      </c>
      <c r="M212" t="s">
        <v>92</v>
      </c>
      <c r="N212" t="s">
        <v>51</v>
      </c>
      <c r="O212" t="s">
        <v>93</v>
      </c>
      <c r="P212" s="2">
        <v>6900</v>
      </c>
      <c r="Q212" s="3">
        <v>43.46</v>
      </c>
      <c r="R212" t="s">
        <v>94</v>
      </c>
      <c r="S212" t="s">
        <v>95</v>
      </c>
      <c r="T212" s="3">
        <v>53.93</v>
      </c>
      <c r="U212" s="3">
        <v>100</v>
      </c>
      <c r="V212" s="3">
        <v>80</v>
      </c>
      <c r="W212" s="3">
        <v>100</v>
      </c>
      <c r="X212" s="3">
        <v>81.180000000000007</v>
      </c>
      <c r="AA212">
        <v>46265</v>
      </c>
    </row>
    <row r="213" spans="1:27">
      <c r="A213" t="s">
        <v>647</v>
      </c>
      <c r="B213">
        <v>46265</v>
      </c>
      <c r="C213" t="s">
        <v>60</v>
      </c>
      <c r="D213" t="s">
        <v>641</v>
      </c>
      <c r="E213" t="s">
        <v>648</v>
      </c>
      <c r="F213" t="s">
        <v>57</v>
      </c>
      <c r="G213" t="s">
        <v>126</v>
      </c>
      <c r="H213" t="s">
        <v>625</v>
      </c>
      <c r="I213" s="2">
        <v>2999</v>
      </c>
      <c r="J213" s="2">
        <v>2999</v>
      </c>
      <c r="K213" s="2">
        <v>0</v>
      </c>
      <c r="L213" s="3">
        <v>0</v>
      </c>
      <c r="M213" t="s">
        <v>92</v>
      </c>
      <c r="N213" t="s">
        <v>51</v>
      </c>
      <c r="O213" t="s">
        <v>93</v>
      </c>
      <c r="P213" s="2">
        <v>6900</v>
      </c>
      <c r="Q213" s="3">
        <v>43.46</v>
      </c>
      <c r="R213" t="s">
        <v>94</v>
      </c>
      <c r="S213" t="s">
        <v>95</v>
      </c>
      <c r="T213" s="3">
        <v>53.93</v>
      </c>
      <c r="U213" s="3">
        <v>100</v>
      </c>
      <c r="V213" s="3">
        <v>80</v>
      </c>
      <c r="W213" s="3">
        <v>100</v>
      </c>
      <c r="X213" s="3">
        <v>81.180000000000007</v>
      </c>
      <c r="AA213">
        <v>46265</v>
      </c>
    </row>
    <row r="214" spans="1:27">
      <c r="A214" t="s">
        <v>649</v>
      </c>
      <c r="B214">
        <v>46265</v>
      </c>
      <c r="C214" t="s">
        <v>60</v>
      </c>
      <c r="D214" t="s">
        <v>641</v>
      </c>
      <c r="E214" t="s">
        <v>650</v>
      </c>
      <c r="F214" t="s">
        <v>57</v>
      </c>
      <c r="G214" t="s">
        <v>126</v>
      </c>
      <c r="H214" t="s">
        <v>625</v>
      </c>
      <c r="I214" s="2">
        <v>2999</v>
      </c>
      <c r="J214" s="2">
        <v>2999</v>
      </c>
      <c r="K214" s="2">
        <v>0</v>
      </c>
      <c r="L214" s="3">
        <v>0</v>
      </c>
      <c r="M214" t="s">
        <v>92</v>
      </c>
      <c r="N214" t="s">
        <v>51</v>
      </c>
      <c r="O214" t="s">
        <v>93</v>
      </c>
      <c r="P214" s="2">
        <v>6900</v>
      </c>
      <c r="Q214" s="3">
        <v>43.46</v>
      </c>
      <c r="R214" t="s">
        <v>94</v>
      </c>
      <c r="S214" t="s">
        <v>95</v>
      </c>
      <c r="T214" s="3">
        <v>53.93</v>
      </c>
      <c r="U214" s="3">
        <v>100</v>
      </c>
      <c r="V214" s="3">
        <v>80</v>
      </c>
      <c r="W214" s="3">
        <v>100</v>
      </c>
      <c r="X214" s="3">
        <v>81.180000000000007</v>
      </c>
      <c r="AA214">
        <v>46265</v>
      </c>
    </row>
    <row r="215" spans="1:27">
      <c r="A215" t="s">
        <v>651</v>
      </c>
      <c r="B215">
        <v>46265</v>
      </c>
      <c r="C215" t="s">
        <v>60</v>
      </c>
      <c r="D215" t="s">
        <v>623</v>
      </c>
      <c r="E215" t="s">
        <v>652</v>
      </c>
      <c r="F215" t="s">
        <v>57</v>
      </c>
      <c r="G215" t="s">
        <v>139</v>
      </c>
      <c r="H215" t="s">
        <v>625</v>
      </c>
      <c r="I215" s="2">
        <v>4499</v>
      </c>
      <c r="J215" s="2">
        <v>4499</v>
      </c>
      <c r="K215" s="2">
        <v>0</v>
      </c>
      <c r="L215" s="3">
        <v>0</v>
      </c>
      <c r="M215" t="s">
        <v>92</v>
      </c>
      <c r="N215" t="s">
        <v>51</v>
      </c>
      <c r="O215" t="s">
        <v>93</v>
      </c>
      <c r="P215" s="2">
        <v>6900</v>
      </c>
      <c r="Q215" s="3">
        <v>65.2</v>
      </c>
      <c r="R215" t="s">
        <v>94</v>
      </c>
      <c r="S215" t="s">
        <v>95</v>
      </c>
      <c r="T215" s="3">
        <v>53.93</v>
      </c>
      <c r="U215" s="3">
        <v>100</v>
      </c>
      <c r="V215" s="3">
        <v>80</v>
      </c>
      <c r="W215" s="3">
        <v>100</v>
      </c>
      <c r="X215" s="3">
        <v>81.180000000000007</v>
      </c>
      <c r="AA215">
        <v>46265</v>
      </c>
    </row>
    <row r="216" spans="1:27">
      <c r="A216" t="s">
        <v>653</v>
      </c>
      <c r="B216">
        <v>46265</v>
      </c>
      <c r="C216" t="s">
        <v>60</v>
      </c>
      <c r="D216" t="s">
        <v>623</v>
      </c>
      <c r="E216" t="s">
        <v>654</v>
      </c>
      <c r="F216" t="s">
        <v>57</v>
      </c>
      <c r="G216" t="s">
        <v>139</v>
      </c>
      <c r="H216" t="s">
        <v>625</v>
      </c>
      <c r="I216" s="2">
        <v>4499</v>
      </c>
      <c r="J216" s="2">
        <v>4499</v>
      </c>
      <c r="K216" s="2">
        <v>0</v>
      </c>
      <c r="L216" s="3">
        <v>0</v>
      </c>
      <c r="M216" t="s">
        <v>92</v>
      </c>
      <c r="N216" t="s">
        <v>51</v>
      </c>
      <c r="O216" t="s">
        <v>93</v>
      </c>
      <c r="P216" s="2">
        <v>6900</v>
      </c>
      <c r="Q216" s="3">
        <v>65.2</v>
      </c>
      <c r="R216" t="s">
        <v>94</v>
      </c>
      <c r="S216" t="s">
        <v>95</v>
      </c>
      <c r="T216" s="3">
        <v>53.93</v>
      </c>
      <c r="U216" s="3">
        <v>100</v>
      </c>
      <c r="V216" s="3">
        <v>80</v>
      </c>
      <c r="W216" s="3">
        <v>100</v>
      </c>
      <c r="X216" s="3">
        <v>81.180000000000007</v>
      </c>
      <c r="AA216">
        <v>46265</v>
      </c>
    </row>
    <row r="217" spans="1:27">
      <c r="A217" t="s">
        <v>655</v>
      </c>
      <c r="B217">
        <v>46265</v>
      </c>
      <c r="C217" t="s">
        <v>60</v>
      </c>
      <c r="D217" t="s">
        <v>623</v>
      </c>
      <c r="E217" t="s">
        <v>656</v>
      </c>
      <c r="F217" t="s">
        <v>57</v>
      </c>
      <c r="G217" t="s">
        <v>139</v>
      </c>
      <c r="H217" t="s">
        <v>625</v>
      </c>
      <c r="I217" s="2">
        <v>4499</v>
      </c>
      <c r="J217" s="2">
        <v>4499</v>
      </c>
      <c r="K217" s="2">
        <v>0</v>
      </c>
      <c r="L217" s="3">
        <v>0</v>
      </c>
      <c r="M217" t="s">
        <v>92</v>
      </c>
      <c r="N217" t="s">
        <v>51</v>
      </c>
      <c r="O217" t="s">
        <v>93</v>
      </c>
      <c r="P217" s="2">
        <v>6900</v>
      </c>
      <c r="Q217" s="3">
        <v>65.2</v>
      </c>
      <c r="R217" t="s">
        <v>94</v>
      </c>
      <c r="S217" t="s">
        <v>95</v>
      </c>
      <c r="T217" s="3">
        <v>53.93</v>
      </c>
      <c r="U217" s="3">
        <v>100</v>
      </c>
      <c r="V217" s="3">
        <v>80</v>
      </c>
      <c r="W217" s="3">
        <v>100</v>
      </c>
      <c r="X217" s="3">
        <v>81.180000000000007</v>
      </c>
      <c r="AA217">
        <v>46265</v>
      </c>
    </row>
    <row r="218" spans="1:27">
      <c r="A218" t="s">
        <v>657</v>
      </c>
      <c r="B218">
        <v>46265</v>
      </c>
      <c r="C218" t="s">
        <v>60</v>
      </c>
      <c r="D218" t="s">
        <v>623</v>
      </c>
      <c r="E218" t="s">
        <v>658</v>
      </c>
      <c r="F218" t="s">
        <v>57</v>
      </c>
      <c r="G218" t="s">
        <v>139</v>
      </c>
      <c r="H218" t="s">
        <v>625</v>
      </c>
      <c r="I218" s="2">
        <v>4499</v>
      </c>
      <c r="J218" s="2">
        <v>4499</v>
      </c>
      <c r="K218" s="2">
        <v>0</v>
      </c>
      <c r="L218" s="3">
        <v>0</v>
      </c>
      <c r="M218" t="s">
        <v>92</v>
      </c>
      <c r="N218" t="s">
        <v>51</v>
      </c>
      <c r="O218" t="s">
        <v>93</v>
      </c>
      <c r="P218" s="2">
        <v>6900</v>
      </c>
      <c r="Q218" s="3">
        <v>65.2</v>
      </c>
      <c r="R218" t="s">
        <v>94</v>
      </c>
      <c r="S218" t="s">
        <v>95</v>
      </c>
      <c r="T218" s="3">
        <v>53.93</v>
      </c>
      <c r="U218" s="3">
        <v>100</v>
      </c>
      <c r="V218" s="3">
        <v>80</v>
      </c>
      <c r="W218" s="3">
        <v>100</v>
      </c>
      <c r="X218" s="3">
        <v>81.180000000000007</v>
      </c>
      <c r="AA218">
        <v>46265</v>
      </c>
    </row>
    <row r="219" spans="1:27">
      <c r="A219" t="s">
        <v>659</v>
      </c>
      <c r="B219">
        <v>46265</v>
      </c>
      <c r="C219" t="s">
        <v>60</v>
      </c>
      <c r="D219" t="s">
        <v>641</v>
      </c>
      <c r="E219" t="s">
        <v>660</v>
      </c>
      <c r="F219" t="s">
        <v>57</v>
      </c>
      <c r="G219" t="s">
        <v>126</v>
      </c>
      <c r="H219" t="s">
        <v>625</v>
      </c>
      <c r="I219" s="2">
        <v>2999</v>
      </c>
      <c r="J219" s="2">
        <v>2999</v>
      </c>
      <c r="K219" s="2">
        <v>0</v>
      </c>
      <c r="L219" s="3">
        <v>0</v>
      </c>
      <c r="M219" t="s">
        <v>92</v>
      </c>
      <c r="N219" t="s">
        <v>51</v>
      </c>
      <c r="O219" t="s">
        <v>93</v>
      </c>
      <c r="P219" s="2">
        <v>6900</v>
      </c>
      <c r="Q219" s="3">
        <v>43.46</v>
      </c>
      <c r="R219" t="s">
        <v>94</v>
      </c>
      <c r="S219" t="s">
        <v>95</v>
      </c>
      <c r="T219" s="3">
        <v>53.93</v>
      </c>
      <c r="U219" s="3">
        <v>100</v>
      </c>
      <c r="V219" s="3">
        <v>80</v>
      </c>
      <c r="W219" s="3">
        <v>100</v>
      </c>
      <c r="X219" s="3">
        <v>81.180000000000007</v>
      </c>
      <c r="AA219">
        <v>46265</v>
      </c>
    </row>
    <row r="220" spans="1:27">
      <c r="A220" t="s">
        <v>661</v>
      </c>
      <c r="B220">
        <v>46265</v>
      </c>
      <c r="C220" t="s">
        <v>60</v>
      </c>
      <c r="D220" t="s">
        <v>641</v>
      </c>
      <c r="E220" t="s">
        <v>662</v>
      </c>
      <c r="F220" t="s">
        <v>57</v>
      </c>
      <c r="G220" t="s">
        <v>126</v>
      </c>
      <c r="H220" t="s">
        <v>625</v>
      </c>
      <c r="I220" s="2">
        <v>2999</v>
      </c>
      <c r="J220" s="2">
        <v>2999</v>
      </c>
      <c r="K220" s="2">
        <v>0</v>
      </c>
      <c r="L220" s="3">
        <v>0</v>
      </c>
      <c r="M220" t="s">
        <v>92</v>
      </c>
      <c r="N220" t="s">
        <v>51</v>
      </c>
      <c r="O220" t="s">
        <v>93</v>
      </c>
      <c r="P220" s="2">
        <v>6900</v>
      </c>
      <c r="Q220" s="3">
        <v>43.46</v>
      </c>
      <c r="R220" t="s">
        <v>94</v>
      </c>
      <c r="S220" t="s">
        <v>95</v>
      </c>
      <c r="T220" s="3">
        <v>53.93</v>
      </c>
      <c r="U220" s="3">
        <v>100</v>
      </c>
      <c r="V220" s="3">
        <v>80</v>
      </c>
      <c r="W220" s="3">
        <v>100</v>
      </c>
      <c r="X220" s="3">
        <v>81.180000000000007</v>
      </c>
      <c r="AA220">
        <v>46265</v>
      </c>
    </row>
    <row r="221" spans="1:27">
      <c r="A221" t="s">
        <v>663</v>
      </c>
      <c r="B221">
        <v>46265</v>
      </c>
      <c r="C221" t="s">
        <v>60</v>
      </c>
      <c r="D221" t="s">
        <v>664</v>
      </c>
      <c r="E221" t="s">
        <v>665</v>
      </c>
      <c r="F221" t="s">
        <v>57</v>
      </c>
      <c r="G221" t="s">
        <v>139</v>
      </c>
      <c r="H221" t="s">
        <v>625</v>
      </c>
      <c r="I221" s="2">
        <v>8799</v>
      </c>
      <c r="J221" s="2">
        <v>8799</v>
      </c>
      <c r="K221" s="2">
        <v>0</v>
      </c>
      <c r="L221" s="3">
        <v>0</v>
      </c>
      <c r="M221" t="s">
        <v>92</v>
      </c>
      <c r="N221" t="s">
        <v>52</v>
      </c>
      <c r="O221" t="s">
        <v>93</v>
      </c>
      <c r="P221" s="2">
        <v>6900</v>
      </c>
      <c r="Q221" s="3">
        <v>127.52</v>
      </c>
      <c r="R221" t="s">
        <v>94</v>
      </c>
      <c r="S221" t="s">
        <v>95</v>
      </c>
      <c r="T221" s="3">
        <v>53.93</v>
      </c>
      <c r="U221" s="3">
        <v>100</v>
      </c>
      <c r="V221" s="3">
        <v>80</v>
      </c>
      <c r="W221" s="3">
        <v>100</v>
      </c>
      <c r="X221" s="3">
        <v>81.180000000000007</v>
      </c>
      <c r="AA221">
        <v>46265</v>
      </c>
    </row>
    <row r="222" spans="1:27">
      <c r="A222" t="s">
        <v>666</v>
      </c>
      <c r="B222">
        <v>46265</v>
      </c>
      <c r="C222" t="s">
        <v>60</v>
      </c>
      <c r="D222" t="s">
        <v>664</v>
      </c>
      <c r="E222" t="s">
        <v>667</v>
      </c>
      <c r="F222" t="s">
        <v>57</v>
      </c>
      <c r="G222" t="s">
        <v>139</v>
      </c>
      <c r="H222" t="s">
        <v>625</v>
      </c>
      <c r="I222" s="2">
        <v>8799</v>
      </c>
      <c r="J222" s="2">
        <v>8799</v>
      </c>
      <c r="K222" s="2">
        <v>0</v>
      </c>
      <c r="L222" s="3">
        <v>0</v>
      </c>
      <c r="M222" t="s">
        <v>92</v>
      </c>
      <c r="N222" t="s">
        <v>52</v>
      </c>
      <c r="O222" t="s">
        <v>93</v>
      </c>
      <c r="P222" s="2">
        <v>6900</v>
      </c>
      <c r="Q222" s="3">
        <v>127.52</v>
      </c>
      <c r="R222" t="s">
        <v>94</v>
      </c>
      <c r="S222" t="s">
        <v>95</v>
      </c>
      <c r="T222" s="3">
        <v>53.93</v>
      </c>
      <c r="U222" s="3">
        <v>100</v>
      </c>
      <c r="V222" s="3">
        <v>80</v>
      </c>
      <c r="W222" s="3">
        <v>100</v>
      </c>
      <c r="X222" s="3">
        <v>81.180000000000007</v>
      </c>
      <c r="AA222">
        <v>46265</v>
      </c>
    </row>
    <row r="223" spans="1:27">
      <c r="A223" t="s">
        <v>668</v>
      </c>
      <c r="B223">
        <v>46265</v>
      </c>
      <c r="C223" t="s">
        <v>60</v>
      </c>
      <c r="D223" t="s">
        <v>664</v>
      </c>
      <c r="E223" t="s">
        <v>669</v>
      </c>
      <c r="F223" t="s">
        <v>57</v>
      </c>
      <c r="G223" t="s">
        <v>139</v>
      </c>
      <c r="H223" t="s">
        <v>625</v>
      </c>
      <c r="I223" s="2">
        <v>8799</v>
      </c>
      <c r="J223" s="2">
        <v>8799</v>
      </c>
      <c r="K223" s="2">
        <v>0</v>
      </c>
      <c r="L223" s="3">
        <v>0</v>
      </c>
      <c r="M223" t="s">
        <v>92</v>
      </c>
      <c r="N223" t="s">
        <v>52</v>
      </c>
      <c r="O223" t="s">
        <v>93</v>
      </c>
      <c r="P223" s="2">
        <v>6900</v>
      </c>
      <c r="Q223" s="3">
        <v>127.52</v>
      </c>
      <c r="R223" t="s">
        <v>94</v>
      </c>
      <c r="S223" t="s">
        <v>95</v>
      </c>
      <c r="T223" s="3">
        <v>53.93</v>
      </c>
      <c r="U223" s="3">
        <v>100</v>
      </c>
      <c r="V223" s="3">
        <v>80</v>
      </c>
      <c r="W223" s="3">
        <v>100</v>
      </c>
      <c r="X223" s="3">
        <v>81.180000000000007</v>
      </c>
      <c r="AA223">
        <v>46265</v>
      </c>
    </row>
    <row r="224" spans="1:27">
      <c r="A224" t="s">
        <v>670</v>
      </c>
      <c r="B224">
        <v>46265</v>
      </c>
      <c r="C224" t="s">
        <v>60</v>
      </c>
      <c r="D224" t="s">
        <v>664</v>
      </c>
      <c r="E224" t="s">
        <v>671</v>
      </c>
      <c r="F224" t="s">
        <v>57</v>
      </c>
      <c r="G224" t="s">
        <v>139</v>
      </c>
      <c r="H224" t="s">
        <v>625</v>
      </c>
      <c r="I224" s="2">
        <v>8799</v>
      </c>
      <c r="J224" s="2">
        <v>8799</v>
      </c>
      <c r="K224" s="2">
        <v>0</v>
      </c>
      <c r="L224" s="3">
        <v>0</v>
      </c>
      <c r="M224" t="s">
        <v>92</v>
      </c>
      <c r="N224" t="s">
        <v>52</v>
      </c>
      <c r="O224" t="s">
        <v>93</v>
      </c>
      <c r="P224" s="2">
        <v>6900</v>
      </c>
      <c r="Q224" s="3">
        <v>127.52</v>
      </c>
      <c r="R224" t="s">
        <v>94</v>
      </c>
      <c r="S224" t="s">
        <v>95</v>
      </c>
      <c r="T224" s="3">
        <v>53.93</v>
      </c>
      <c r="U224" s="3">
        <v>100</v>
      </c>
      <c r="V224" s="3">
        <v>80</v>
      </c>
      <c r="W224" s="3">
        <v>100</v>
      </c>
      <c r="X224" s="3">
        <v>81.180000000000007</v>
      </c>
      <c r="AA224">
        <v>46265</v>
      </c>
    </row>
    <row r="225" spans="1:27">
      <c r="A225" t="s">
        <v>672</v>
      </c>
      <c r="B225">
        <v>46265</v>
      </c>
      <c r="C225" t="s">
        <v>60</v>
      </c>
      <c r="D225" t="s">
        <v>664</v>
      </c>
      <c r="E225" t="s">
        <v>673</v>
      </c>
      <c r="F225" t="s">
        <v>57</v>
      </c>
      <c r="G225" t="s">
        <v>139</v>
      </c>
      <c r="H225" t="s">
        <v>625</v>
      </c>
      <c r="I225" s="2">
        <v>10799</v>
      </c>
      <c r="J225" s="2">
        <v>10799</v>
      </c>
      <c r="K225" s="2">
        <v>0</v>
      </c>
      <c r="L225" s="3">
        <v>0</v>
      </c>
      <c r="M225" t="s">
        <v>92</v>
      </c>
      <c r="N225" t="s">
        <v>52</v>
      </c>
      <c r="O225" t="s">
        <v>93</v>
      </c>
      <c r="P225" s="2">
        <v>6900</v>
      </c>
      <c r="Q225" s="3">
        <v>156.51</v>
      </c>
      <c r="R225" t="s">
        <v>94</v>
      </c>
      <c r="S225" t="s">
        <v>95</v>
      </c>
      <c r="T225" s="3">
        <v>53.93</v>
      </c>
      <c r="U225" s="3">
        <v>100</v>
      </c>
      <c r="V225" s="3">
        <v>80</v>
      </c>
      <c r="W225" s="3">
        <v>100</v>
      </c>
      <c r="X225" s="3">
        <v>81.180000000000007</v>
      </c>
      <c r="AA225">
        <v>46265</v>
      </c>
    </row>
    <row r="226" spans="1:27">
      <c r="A226" t="s">
        <v>674</v>
      </c>
      <c r="B226">
        <v>46265</v>
      </c>
      <c r="C226" t="s">
        <v>60</v>
      </c>
      <c r="D226" t="s">
        <v>664</v>
      </c>
      <c r="E226" t="s">
        <v>675</v>
      </c>
      <c r="F226" t="s">
        <v>57</v>
      </c>
      <c r="G226" t="s">
        <v>139</v>
      </c>
      <c r="H226" t="s">
        <v>625</v>
      </c>
      <c r="I226" s="2">
        <v>10799</v>
      </c>
      <c r="J226" s="2">
        <v>10799</v>
      </c>
      <c r="K226" s="2">
        <v>0</v>
      </c>
      <c r="L226" s="3">
        <v>0</v>
      </c>
      <c r="M226" t="s">
        <v>92</v>
      </c>
      <c r="N226" t="s">
        <v>52</v>
      </c>
      <c r="O226" t="s">
        <v>93</v>
      </c>
      <c r="P226" s="2">
        <v>6900</v>
      </c>
      <c r="Q226" s="3">
        <v>156.51</v>
      </c>
      <c r="R226" t="s">
        <v>94</v>
      </c>
      <c r="S226" t="s">
        <v>95</v>
      </c>
      <c r="T226" s="3">
        <v>53.93</v>
      </c>
      <c r="U226" s="3">
        <v>100</v>
      </c>
      <c r="V226" s="3">
        <v>80</v>
      </c>
      <c r="W226" s="3">
        <v>100</v>
      </c>
      <c r="X226" s="3">
        <v>81.180000000000007</v>
      </c>
      <c r="AA226">
        <v>46265</v>
      </c>
    </row>
    <row r="227" spans="1:27">
      <c r="A227" t="s">
        <v>676</v>
      </c>
      <c r="B227">
        <v>46265</v>
      </c>
      <c r="C227" t="s">
        <v>60</v>
      </c>
      <c r="D227" t="s">
        <v>677</v>
      </c>
      <c r="E227" t="s">
        <v>678</v>
      </c>
      <c r="F227" t="s">
        <v>61</v>
      </c>
      <c r="G227" t="s">
        <v>90</v>
      </c>
      <c r="H227" t="s">
        <v>679</v>
      </c>
      <c r="I227" s="2">
        <v>12999</v>
      </c>
      <c r="J227" s="2">
        <v>12999</v>
      </c>
      <c r="K227" s="2">
        <v>0</v>
      </c>
      <c r="L227" s="3">
        <v>0</v>
      </c>
      <c r="M227" t="s">
        <v>92</v>
      </c>
      <c r="N227" t="s">
        <v>52</v>
      </c>
      <c r="O227" t="s">
        <v>93</v>
      </c>
      <c r="P227" s="2">
        <v>9990</v>
      </c>
      <c r="Q227" s="3">
        <v>130.12</v>
      </c>
      <c r="R227" t="s">
        <v>94</v>
      </c>
      <c r="S227" t="s">
        <v>95</v>
      </c>
      <c r="T227" s="3">
        <v>53.93</v>
      </c>
      <c r="U227" s="3">
        <v>100</v>
      </c>
      <c r="V227" s="3">
        <v>80</v>
      </c>
      <c r="W227" s="3">
        <v>100</v>
      </c>
      <c r="X227" s="3">
        <v>81.180000000000007</v>
      </c>
      <c r="AA227">
        <v>46265</v>
      </c>
    </row>
    <row r="228" spans="1:27">
      <c r="A228" t="s">
        <v>680</v>
      </c>
      <c r="B228">
        <v>46265</v>
      </c>
      <c r="C228" t="s">
        <v>60</v>
      </c>
      <c r="D228" t="s">
        <v>677</v>
      </c>
      <c r="E228" t="s">
        <v>681</v>
      </c>
      <c r="F228" t="s">
        <v>61</v>
      </c>
      <c r="G228" t="s">
        <v>90</v>
      </c>
      <c r="H228" t="s">
        <v>679</v>
      </c>
      <c r="I228" s="2">
        <v>13499</v>
      </c>
      <c r="J228" s="2">
        <v>13499</v>
      </c>
      <c r="K228" s="2">
        <v>0</v>
      </c>
      <c r="L228" s="3">
        <v>0</v>
      </c>
      <c r="M228" t="s">
        <v>92</v>
      </c>
      <c r="N228" t="s">
        <v>52</v>
      </c>
      <c r="O228" t="s">
        <v>93</v>
      </c>
      <c r="P228" s="2">
        <v>9990</v>
      </c>
      <c r="Q228" s="3">
        <v>135.13</v>
      </c>
      <c r="R228" t="s">
        <v>94</v>
      </c>
      <c r="S228" t="s">
        <v>95</v>
      </c>
      <c r="T228" s="3">
        <v>53.93</v>
      </c>
      <c r="U228" s="3">
        <v>100</v>
      </c>
      <c r="V228" s="3">
        <v>80</v>
      </c>
      <c r="W228" s="3">
        <v>100</v>
      </c>
      <c r="X228" s="3">
        <v>81.180000000000007</v>
      </c>
      <c r="AA228">
        <v>46265</v>
      </c>
    </row>
    <row r="229" spans="1:27">
      <c r="A229" t="s">
        <v>682</v>
      </c>
      <c r="B229">
        <v>46265</v>
      </c>
      <c r="C229" t="s">
        <v>60</v>
      </c>
      <c r="D229" t="s">
        <v>683</v>
      </c>
      <c r="E229" t="s">
        <v>684</v>
      </c>
      <c r="F229" t="s">
        <v>61</v>
      </c>
      <c r="G229" t="s">
        <v>90</v>
      </c>
      <c r="H229" t="s">
        <v>679</v>
      </c>
      <c r="I229" s="2">
        <v>9099</v>
      </c>
      <c r="J229" s="2">
        <v>9099</v>
      </c>
      <c r="K229" s="2">
        <v>0</v>
      </c>
      <c r="L229" s="3">
        <v>0</v>
      </c>
      <c r="M229" t="s">
        <v>92</v>
      </c>
      <c r="N229" t="s">
        <v>52</v>
      </c>
      <c r="O229" t="s">
        <v>93</v>
      </c>
      <c r="P229" s="2">
        <v>9990</v>
      </c>
      <c r="Q229" s="3">
        <v>91.08</v>
      </c>
      <c r="R229" t="s">
        <v>94</v>
      </c>
      <c r="S229" t="s">
        <v>95</v>
      </c>
      <c r="T229" s="3">
        <v>53.93</v>
      </c>
      <c r="U229" s="3">
        <v>100</v>
      </c>
      <c r="V229" s="3">
        <v>80</v>
      </c>
      <c r="W229" s="3">
        <v>100</v>
      </c>
      <c r="X229" s="3">
        <v>81.180000000000007</v>
      </c>
      <c r="AA229">
        <v>46265</v>
      </c>
    </row>
    <row r="230" spans="1:27">
      <c r="A230" t="s">
        <v>685</v>
      </c>
      <c r="B230">
        <v>46265</v>
      </c>
      <c r="C230" t="s">
        <v>60</v>
      </c>
      <c r="D230" t="s">
        <v>683</v>
      </c>
      <c r="E230" t="s">
        <v>686</v>
      </c>
      <c r="F230" t="s">
        <v>61</v>
      </c>
      <c r="G230" t="s">
        <v>90</v>
      </c>
      <c r="H230" t="s">
        <v>679</v>
      </c>
      <c r="I230" s="2">
        <v>7799</v>
      </c>
      <c r="J230" s="2">
        <v>7799</v>
      </c>
      <c r="K230" s="2">
        <v>0</v>
      </c>
      <c r="L230" s="3">
        <v>0</v>
      </c>
      <c r="M230" t="s">
        <v>92</v>
      </c>
      <c r="N230" t="s">
        <v>51</v>
      </c>
      <c r="O230" t="s">
        <v>93</v>
      </c>
      <c r="P230" s="2">
        <v>9990</v>
      </c>
      <c r="Q230" s="3">
        <v>78.069999999999993</v>
      </c>
      <c r="R230" t="s">
        <v>94</v>
      </c>
      <c r="S230" t="s">
        <v>95</v>
      </c>
      <c r="T230" s="3">
        <v>53.93</v>
      </c>
      <c r="U230" s="3">
        <v>100</v>
      </c>
      <c r="V230" s="3">
        <v>80</v>
      </c>
      <c r="W230" s="3">
        <v>100</v>
      </c>
      <c r="X230" s="3">
        <v>81.180000000000007</v>
      </c>
      <c r="AA230">
        <v>46265</v>
      </c>
    </row>
    <row r="231" spans="1:27">
      <c r="A231" t="s">
        <v>687</v>
      </c>
      <c r="B231">
        <v>46265</v>
      </c>
      <c r="C231" t="s">
        <v>60</v>
      </c>
      <c r="D231" t="s">
        <v>683</v>
      </c>
      <c r="E231" t="s">
        <v>688</v>
      </c>
      <c r="F231" t="s">
        <v>61</v>
      </c>
      <c r="G231" t="s">
        <v>90</v>
      </c>
      <c r="H231" t="s">
        <v>679</v>
      </c>
      <c r="I231" s="2">
        <v>8499</v>
      </c>
      <c r="J231" s="2">
        <v>8499</v>
      </c>
      <c r="K231" s="2">
        <v>0</v>
      </c>
      <c r="L231" s="3">
        <v>0</v>
      </c>
      <c r="M231" t="s">
        <v>92</v>
      </c>
      <c r="N231" t="s">
        <v>52</v>
      </c>
      <c r="O231" t="s">
        <v>93</v>
      </c>
      <c r="P231" s="2">
        <v>9990</v>
      </c>
      <c r="Q231" s="3">
        <v>85.08</v>
      </c>
      <c r="R231" t="s">
        <v>94</v>
      </c>
      <c r="S231" t="s">
        <v>95</v>
      </c>
      <c r="T231" s="3">
        <v>53.93</v>
      </c>
      <c r="U231" s="3">
        <v>100</v>
      </c>
      <c r="V231" s="3">
        <v>80</v>
      </c>
      <c r="W231" s="3">
        <v>100</v>
      </c>
      <c r="X231" s="3">
        <v>81.180000000000007</v>
      </c>
      <c r="AA231">
        <v>46265</v>
      </c>
    </row>
    <row r="232" spans="1:27">
      <c r="A232" t="s">
        <v>689</v>
      </c>
      <c r="B232">
        <v>46265</v>
      </c>
      <c r="C232" t="s">
        <v>60</v>
      </c>
      <c r="D232" t="s">
        <v>690</v>
      </c>
      <c r="E232" t="s">
        <v>691</v>
      </c>
      <c r="F232" t="s">
        <v>61</v>
      </c>
      <c r="G232" t="s">
        <v>90</v>
      </c>
      <c r="H232" t="s">
        <v>679</v>
      </c>
      <c r="I232" s="2">
        <v>8399</v>
      </c>
      <c r="J232" s="2">
        <v>8399</v>
      </c>
      <c r="K232" s="2">
        <v>0</v>
      </c>
      <c r="L232" s="3">
        <v>0</v>
      </c>
      <c r="M232" t="s">
        <v>92</v>
      </c>
      <c r="N232" t="s">
        <v>52</v>
      </c>
      <c r="O232" t="s">
        <v>93</v>
      </c>
      <c r="P232" s="2">
        <v>9990</v>
      </c>
      <c r="Q232" s="3">
        <v>84.07</v>
      </c>
      <c r="R232" t="s">
        <v>94</v>
      </c>
      <c r="S232" t="s">
        <v>95</v>
      </c>
      <c r="T232" s="3">
        <v>53.93</v>
      </c>
      <c r="U232" s="3">
        <v>100</v>
      </c>
      <c r="V232" s="3">
        <v>80</v>
      </c>
      <c r="W232" s="3">
        <v>100</v>
      </c>
      <c r="X232" s="3">
        <v>81.180000000000007</v>
      </c>
      <c r="AA232">
        <v>46265</v>
      </c>
    </row>
    <row r="233" spans="1:27">
      <c r="A233" t="s">
        <v>692</v>
      </c>
      <c r="B233">
        <v>46265</v>
      </c>
      <c r="C233" t="s">
        <v>60</v>
      </c>
      <c r="D233" t="s">
        <v>683</v>
      </c>
      <c r="E233" t="s">
        <v>693</v>
      </c>
      <c r="F233" t="s">
        <v>61</v>
      </c>
      <c r="G233" t="s">
        <v>90</v>
      </c>
      <c r="H233" t="s">
        <v>679</v>
      </c>
      <c r="I233" s="2">
        <v>9999</v>
      </c>
      <c r="J233" s="2">
        <v>9999</v>
      </c>
      <c r="K233" s="2">
        <v>0</v>
      </c>
      <c r="L233" s="3">
        <v>0</v>
      </c>
      <c r="M233" t="s">
        <v>92</v>
      </c>
      <c r="N233" t="s">
        <v>52</v>
      </c>
      <c r="O233" t="s">
        <v>93</v>
      </c>
      <c r="P233" s="2">
        <v>9990</v>
      </c>
      <c r="Q233" s="3">
        <v>100.09</v>
      </c>
      <c r="R233" t="s">
        <v>94</v>
      </c>
      <c r="S233" t="s">
        <v>95</v>
      </c>
      <c r="T233" s="3">
        <v>53.93</v>
      </c>
      <c r="U233" s="3">
        <v>100</v>
      </c>
      <c r="V233" s="3">
        <v>80</v>
      </c>
      <c r="W233" s="3">
        <v>100</v>
      </c>
      <c r="X233" s="3">
        <v>81.180000000000007</v>
      </c>
      <c r="AA233">
        <v>46265</v>
      </c>
    </row>
    <row r="234" spans="1:27">
      <c r="A234" t="s">
        <v>694</v>
      </c>
      <c r="B234">
        <v>46265</v>
      </c>
      <c r="C234" t="s">
        <v>60</v>
      </c>
      <c r="D234" t="s">
        <v>683</v>
      </c>
      <c r="E234" t="s">
        <v>695</v>
      </c>
      <c r="F234" t="s">
        <v>61</v>
      </c>
      <c r="G234" t="s">
        <v>90</v>
      </c>
      <c r="H234" t="s">
        <v>679</v>
      </c>
      <c r="I234" s="2">
        <v>8999</v>
      </c>
      <c r="J234" s="2">
        <v>8999</v>
      </c>
      <c r="K234" s="2">
        <v>0</v>
      </c>
      <c r="L234" s="3">
        <v>0</v>
      </c>
      <c r="M234" t="s">
        <v>92</v>
      </c>
      <c r="N234" t="s">
        <v>52</v>
      </c>
      <c r="O234" t="s">
        <v>93</v>
      </c>
      <c r="P234" s="2">
        <v>9990</v>
      </c>
      <c r="Q234" s="3">
        <v>90.08</v>
      </c>
      <c r="R234" t="s">
        <v>94</v>
      </c>
      <c r="S234" t="s">
        <v>95</v>
      </c>
      <c r="T234" s="3">
        <v>53.93</v>
      </c>
      <c r="U234" s="3">
        <v>100</v>
      </c>
      <c r="V234" s="3">
        <v>80</v>
      </c>
      <c r="W234" s="3">
        <v>100</v>
      </c>
      <c r="X234" s="3">
        <v>81.180000000000007</v>
      </c>
      <c r="AA234">
        <v>46265</v>
      </c>
    </row>
    <row r="235" spans="1:27">
      <c r="A235" t="s">
        <v>696</v>
      </c>
      <c r="B235">
        <v>46265</v>
      </c>
      <c r="C235" t="s">
        <v>60</v>
      </c>
      <c r="D235" t="s">
        <v>697</v>
      </c>
      <c r="E235" t="s">
        <v>698</v>
      </c>
      <c r="F235" t="s">
        <v>61</v>
      </c>
      <c r="G235" t="s">
        <v>90</v>
      </c>
      <c r="H235" t="s">
        <v>679</v>
      </c>
      <c r="I235" s="2">
        <v>5999</v>
      </c>
      <c r="J235" s="2">
        <v>5999</v>
      </c>
      <c r="K235" s="2">
        <v>0</v>
      </c>
      <c r="L235" s="3">
        <v>0</v>
      </c>
      <c r="M235" t="s">
        <v>92</v>
      </c>
      <c r="N235" t="s">
        <v>51</v>
      </c>
      <c r="O235" t="s">
        <v>93</v>
      </c>
      <c r="P235" s="2">
        <v>9990</v>
      </c>
      <c r="Q235" s="3">
        <v>60.05</v>
      </c>
      <c r="R235" t="s">
        <v>94</v>
      </c>
      <c r="S235" t="s">
        <v>95</v>
      </c>
      <c r="T235" s="3">
        <v>53.93</v>
      </c>
      <c r="U235" s="3">
        <v>100</v>
      </c>
      <c r="V235" s="3">
        <v>80</v>
      </c>
      <c r="W235" s="3">
        <v>100</v>
      </c>
      <c r="X235" s="3">
        <v>81.180000000000007</v>
      </c>
      <c r="AA235">
        <v>46265</v>
      </c>
    </row>
    <row r="236" spans="1:27">
      <c r="A236" t="s">
        <v>699</v>
      </c>
      <c r="B236">
        <v>46265</v>
      </c>
      <c r="C236" t="s">
        <v>60</v>
      </c>
      <c r="D236" t="s">
        <v>677</v>
      </c>
      <c r="E236" t="s">
        <v>700</v>
      </c>
      <c r="F236" t="s">
        <v>61</v>
      </c>
      <c r="G236" t="s">
        <v>90</v>
      </c>
      <c r="H236" t="s">
        <v>679</v>
      </c>
      <c r="I236" s="2">
        <v>12399</v>
      </c>
      <c r="J236" s="2">
        <v>12399</v>
      </c>
      <c r="K236" s="2">
        <v>0</v>
      </c>
      <c r="L236" s="3">
        <v>0</v>
      </c>
      <c r="M236" t="s">
        <v>92</v>
      </c>
      <c r="N236" t="s">
        <v>52</v>
      </c>
      <c r="O236" t="s">
        <v>93</v>
      </c>
      <c r="P236" s="2">
        <v>9990</v>
      </c>
      <c r="Q236" s="3">
        <v>124.11</v>
      </c>
      <c r="R236" t="s">
        <v>94</v>
      </c>
      <c r="S236" t="s">
        <v>95</v>
      </c>
      <c r="T236" s="3">
        <v>53.93</v>
      </c>
      <c r="U236" s="3">
        <v>100</v>
      </c>
      <c r="V236" s="3">
        <v>80</v>
      </c>
      <c r="W236" s="3">
        <v>100</v>
      </c>
      <c r="X236" s="3">
        <v>81.180000000000007</v>
      </c>
      <c r="AA236">
        <v>46265</v>
      </c>
    </row>
    <row r="237" spans="1:27">
      <c r="A237" t="s">
        <v>701</v>
      </c>
      <c r="B237">
        <v>46265</v>
      </c>
      <c r="C237" t="s">
        <v>60</v>
      </c>
      <c r="D237" t="s">
        <v>677</v>
      </c>
      <c r="E237" t="s">
        <v>702</v>
      </c>
      <c r="F237" t="s">
        <v>61</v>
      </c>
      <c r="G237" t="s">
        <v>90</v>
      </c>
      <c r="H237" t="s">
        <v>679</v>
      </c>
      <c r="I237" s="2">
        <v>10799</v>
      </c>
      <c r="J237" s="2">
        <v>10799</v>
      </c>
      <c r="K237" s="2">
        <v>0</v>
      </c>
      <c r="L237" s="3">
        <v>0</v>
      </c>
      <c r="M237" t="s">
        <v>92</v>
      </c>
      <c r="N237" t="s">
        <v>52</v>
      </c>
      <c r="O237" t="s">
        <v>93</v>
      </c>
      <c r="P237" s="2">
        <v>9990</v>
      </c>
      <c r="Q237" s="3">
        <v>108.1</v>
      </c>
      <c r="R237" t="s">
        <v>94</v>
      </c>
      <c r="S237" t="s">
        <v>95</v>
      </c>
      <c r="T237" s="3">
        <v>53.93</v>
      </c>
      <c r="U237" s="3">
        <v>100</v>
      </c>
      <c r="V237" s="3">
        <v>80</v>
      </c>
      <c r="W237" s="3">
        <v>100</v>
      </c>
      <c r="X237" s="3">
        <v>81.180000000000007</v>
      </c>
      <c r="AA237">
        <v>46265</v>
      </c>
    </row>
    <row r="238" spans="1:27">
      <c r="A238" t="s">
        <v>703</v>
      </c>
      <c r="B238">
        <v>46265</v>
      </c>
      <c r="C238" t="s">
        <v>60</v>
      </c>
      <c r="D238" t="s">
        <v>683</v>
      </c>
      <c r="E238" t="s">
        <v>704</v>
      </c>
      <c r="F238" t="s">
        <v>61</v>
      </c>
      <c r="G238" t="s">
        <v>90</v>
      </c>
      <c r="H238" t="s">
        <v>679</v>
      </c>
      <c r="I238" s="2">
        <v>10499</v>
      </c>
      <c r="J238" s="2">
        <v>10499</v>
      </c>
      <c r="K238" s="2">
        <v>0</v>
      </c>
      <c r="L238" s="3">
        <v>0</v>
      </c>
      <c r="M238" t="s">
        <v>92</v>
      </c>
      <c r="N238" t="s">
        <v>52</v>
      </c>
      <c r="O238" t="s">
        <v>93</v>
      </c>
      <c r="P238" s="2">
        <v>9990</v>
      </c>
      <c r="Q238" s="3">
        <v>105.1</v>
      </c>
      <c r="R238" t="s">
        <v>94</v>
      </c>
      <c r="S238" t="s">
        <v>95</v>
      </c>
      <c r="T238" s="3">
        <v>53.93</v>
      </c>
      <c r="U238" s="3">
        <v>100</v>
      </c>
      <c r="V238" s="3">
        <v>80</v>
      </c>
      <c r="W238" s="3">
        <v>100</v>
      </c>
      <c r="X238" s="3">
        <v>81.180000000000007</v>
      </c>
      <c r="AA238">
        <v>46265</v>
      </c>
    </row>
    <row r="239" spans="1:27">
      <c r="A239" t="s">
        <v>705</v>
      </c>
      <c r="B239">
        <v>46265</v>
      </c>
      <c r="C239" t="s">
        <v>60</v>
      </c>
      <c r="D239" t="s">
        <v>683</v>
      </c>
      <c r="E239" t="s">
        <v>706</v>
      </c>
      <c r="F239" t="s">
        <v>61</v>
      </c>
      <c r="G239" t="s">
        <v>90</v>
      </c>
      <c r="H239" t="s">
        <v>679</v>
      </c>
      <c r="I239" s="2">
        <v>7699</v>
      </c>
      <c r="J239" s="2">
        <v>7699</v>
      </c>
      <c r="K239" s="2">
        <v>0</v>
      </c>
      <c r="L239" s="3">
        <v>0</v>
      </c>
      <c r="M239" t="s">
        <v>92</v>
      </c>
      <c r="N239" t="s">
        <v>51</v>
      </c>
      <c r="O239" t="s">
        <v>93</v>
      </c>
      <c r="P239" s="2">
        <v>9990</v>
      </c>
      <c r="Q239" s="3">
        <v>77.069999999999993</v>
      </c>
      <c r="R239" t="s">
        <v>94</v>
      </c>
      <c r="S239" t="s">
        <v>95</v>
      </c>
      <c r="T239" s="3">
        <v>53.93</v>
      </c>
      <c r="U239" s="3">
        <v>100</v>
      </c>
      <c r="V239" s="3">
        <v>80</v>
      </c>
      <c r="W239" s="3">
        <v>100</v>
      </c>
      <c r="X239" s="3">
        <v>81.180000000000007</v>
      </c>
      <c r="AA239">
        <v>46265</v>
      </c>
    </row>
    <row r="240" spans="1:27">
      <c r="A240" t="s">
        <v>707</v>
      </c>
      <c r="B240">
        <v>46265</v>
      </c>
      <c r="C240" t="s">
        <v>60</v>
      </c>
      <c r="D240" t="s">
        <v>708</v>
      </c>
      <c r="E240" t="s">
        <v>709</v>
      </c>
      <c r="F240" t="s">
        <v>61</v>
      </c>
      <c r="G240" t="s">
        <v>90</v>
      </c>
      <c r="H240" t="s">
        <v>679</v>
      </c>
      <c r="I240" s="2">
        <v>9899</v>
      </c>
      <c r="J240" s="2">
        <v>9899</v>
      </c>
      <c r="K240" s="2">
        <v>0</v>
      </c>
      <c r="L240" s="3">
        <v>0</v>
      </c>
      <c r="M240" t="s">
        <v>92</v>
      </c>
      <c r="N240" t="s">
        <v>52</v>
      </c>
      <c r="O240" t="s">
        <v>93</v>
      </c>
      <c r="P240" s="2">
        <v>9990</v>
      </c>
      <c r="Q240" s="3">
        <v>99.09</v>
      </c>
      <c r="R240" t="s">
        <v>94</v>
      </c>
      <c r="S240" t="s">
        <v>95</v>
      </c>
      <c r="T240" s="3">
        <v>53.93</v>
      </c>
      <c r="U240" s="3">
        <v>100</v>
      </c>
      <c r="V240" s="3">
        <v>80</v>
      </c>
      <c r="W240" s="3">
        <v>100</v>
      </c>
      <c r="X240" s="3">
        <v>81.180000000000007</v>
      </c>
      <c r="AA240">
        <v>46265</v>
      </c>
    </row>
    <row r="241" spans="1:27">
      <c r="A241" t="s">
        <v>710</v>
      </c>
      <c r="B241">
        <v>46265</v>
      </c>
      <c r="C241" t="s">
        <v>60</v>
      </c>
      <c r="D241" t="s">
        <v>711</v>
      </c>
      <c r="E241" t="s">
        <v>712</v>
      </c>
      <c r="F241" t="s">
        <v>61</v>
      </c>
      <c r="G241" t="s">
        <v>90</v>
      </c>
      <c r="H241" t="s">
        <v>679</v>
      </c>
      <c r="I241" s="2">
        <v>7699</v>
      </c>
      <c r="J241" s="2">
        <v>7699</v>
      </c>
      <c r="K241" s="2">
        <v>0</v>
      </c>
      <c r="L241" s="3">
        <v>0</v>
      </c>
      <c r="M241" t="s">
        <v>92</v>
      </c>
      <c r="N241" t="s">
        <v>51</v>
      </c>
      <c r="O241" t="s">
        <v>93</v>
      </c>
      <c r="P241" s="2">
        <v>9990</v>
      </c>
      <c r="Q241" s="3">
        <v>77.069999999999993</v>
      </c>
      <c r="R241" t="s">
        <v>94</v>
      </c>
      <c r="S241" t="s">
        <v>95</v>
      </c>
      <c r="T241" s="3">
        <v>53.93</v>
      </c>
      <c r="U241" s="3">
        <v>100</v>
      </c>
      <c r="V241" s="3">
        <v>80</v>
      </c>
      <c r="W241" s="3">
        <v>100</v>
      </c>
      <c r="X241" s="3">
        <v>81.180000000000007</v>
      </c>
      <c r="AA241">
        <v>46265</v>
      </c>
    </row>
    <row r="242" spans="1:27">
      <c r="A242" t="s">
        <v>713</v>
      </c>
      <c r="B242">
        <v>46265</v>
      </c>
      <c r="C242" t="s">
        <v>60</v>
      </c>
      <c r="D242" t="s">
        <v>714</v>
      </c>
      <c r="E242" t="s">
        <v>715</v>
      </c>
      <c r="F242" t="s">
        <v>61</v>
      </c>
      <c r="G242" t="s">
        <v>90</v>
      </c>
      <c r="H242" t="s">
        <v>679</v>
      </c>
      <c r="I242" s="2">
        <v>7999</v>
      </c>
      <c r="J242" s="2">
        <v>7999</v>
      </c>
      <c r="K242" s="2">
        <v>0</v>
      </c>
      <c r="L242" s="3">
        <v>0</v>
      </c>
      <c r="M242" t="s">
        <v>92</v>
      </c>
      <c r="N242" t="s">
        <v>51</v>
      </c>
      <c r="O242" t="s">
        <v>93</v>
      </c>
      <c r="P242" s="2">
        <v>9990</v>
      </c>
      <c r="Q242" s="3">
        <v>80.069999999999993</v>
      </c>
      <c r="R242" t="s">
        <v>94</v>
      </c>
      <c r="S242" t="s">
        <v>95</v>
      </c>
      <c r="T242" s="3">
        <v>53.93</v>
      </c>
      <c r="U242" s="3">
        <v>100</v>
      </c>
      <c r="V242" s="3">
        <v>80</v>
      </c>
      <c r="W242" s="3">
        <v>100</v>
      </c>
      <c r="X242" s="3">
        <v>81.180000000000007</v>
      </c>
      <c r="AA242">
        <v>46265</v>
      </c>
    </row>
    <row r="243" spans="1:27">
      <c r="A243" t="s">
        <v>716</v>
      </c>
      <c r="B243">
        <v>46265</v>
      </c>
      <c r="C243" t="s">
        <v>60</v>
      </c>
      <c r="D243" t="s">
        <v>717</v>
      </c>
      <c r="E243" t="s">
        <v>718</v>
      </c>
      <c r="F243" t="s">
        <v>61</v>
      </c>
      <c r="G243" t="s">
        <v>90</v>
      </c>
      <c r="H243" t="s">
        <v>679</v>
      </c>
      <c r="I243" s="2">
        <v>6999</v>
      </c>
      <c r="J243" s="2">
        <v>6999</v>
      </c>
      <c r="K243" s="2">
        <v>0</v>
      </c>
      <c r="L243" s="3">
        <v>0</v>
      </c>
      <c r="M243" t="s">
        <v>92</v>
      </c>
      <c r="N243" t="s">
        <v>51</v>
      </c>
      <c r="O243" t="s">
        <v>93</v>
      </c>
      <c r="P243" s="2">
        <v>9990</v>
      </c>
      <c r="Q243" s="3">
        <v>70.06</v>
      </c>
      <c r="R243" t="s">
        <v>94</v>
      </c>
      <c r="S243" t="s">
        <v>95</v>
      </c>
      <c r="T243" s="3">
        <v>53.93</v>
      </c>
      <c r="U243" s="3">
        <v>100</v>
      </c>
      <c r="V243" s="3">
        <v>80</v>
      </c>
      <c r="W243" s="3">
        <v>100</v>
      </c>
      <c r="X243" s="3">
        <v>81.180000000000007</v>
      </c>
      <c r="AA243">
        <v>46265</v>
      </c>
    </row>
    <row r="244" spans="1:27">
      <c r="A244" t="s">
        <v>719</v>
      </c>
      <c r="B244">
        <v>46265</v>
      </c>
      <c r="C244" t="s">
        <v>60</v>
      </c>
      <c r="D244" t="s">
        <v>677</v>
      </c>
      <c r="E244" t="s">
        <v>720</v>
      </c>
      <c r="F244" t="s">
        <v>61</v>
      </c>
      <c r="G244" t="s">
        <v>90</v>
      </c>
      <c r="H244" t="s">
        <v>679</v>
      </c>
      <c r="I244" s="2">
        <v>14499</v>
      </c>
      <c r="J244" s="2">
        <v>14499</v>
      </c>
      <c r="K244" s="2">
        <v>0</v>
      </c>
      <c r="L244" s="3">
        <v>0</v>
      </c>
      <c r="M244" t="s">
        <v>92</v>
      </c>
      <c r="N244" t="s">
        <v>52</v>
      </c>
      <c r="O244" t="s">
        <v>93</v>
      </c>
      <c r="P244" s="2">
        <v>9990</v>
      </c>
      <c r="Q244" s="3">
        <v>145.13999999999999</v>
      </c>
      <c r="R244" t="s">
        <v>94</v>
      </c>
      <c r="S244" t="s">
        <v>95</v>
      </c>
      <c r="T244" s="3">
        <v>53.93</v>
      </c>
      <c r="U244" s="3">
        <v>100</v>
      </c>
      <c r="V244" s="3">
        <v>80</v>
      </c>
      <c r="W244" s="3">
        <v>100</v>
      </c>
      <c r="X244" s="3">
        <v>81.180000000000007</v>
      </c>
      <c r="AA244">
        <v>46265</v>
      </c>
    </row>
    <row r="245" spans="1:27">
      <c r="A245" t="s">
        <v>721</v>
      </c>
      <c r="B245">
        <v>46265</v>
      </c>
      <c r="C245" t="s">
        <v>60</v>
      </c>
      <c r="D245" t="s">
        <v>722</v>
      </c>
      <c r="E245" t="s">
        <v>723</v>
      </c>
      <c r="F245" t="s">
        <v>61</v>
      </c>
      <c r="G245" t="s">
        <v>90</v>
      </c>
      <c r="H245" t="s">
        <v>679</v>
      </c>
      <c r="I245" s="2">
        <v>5499</v>
      </c>
      <c r="J245" s="2">
        <v>5499</v>
      </c>
      <c r="K245" s="2">
        <v>0</v>
      </c>
      <c r="L245" s="3">
        <v>0</v>
      </c>
      <c r="M245" t="s">
        <v>92</v>
      </c>
      <c r="N245" t="s">
        <v>51</v>
      </c>
      <c r="O245" t="s">
        <v>93</v>
      </c>
      <c r="P245" s="2">
        <v>9990</v>
      </c>
      <c r="Q245" s="3">
        <v>55.05</v>
      </c>
      <c r="R245" t="s">
        <v>94</v>
      </c>
      <c r="S245" t="s">
        <v>95</v>
      </c>
      <c r="T245" s="3">
        <v>53.93</v>
      </c>
      <c r="U245" s="3">
        <v>100</v>
      </c>
      <c r="V245" s="3">
        <v>80</v>
      </c>
      <c r="W245" s="3">
        <v>100</v>
      </c>
      <c r="X245" s="3">
        <v>81.180000000000007</v>
      </c>
      <c r="AA245">
        <v>46265</v>
      </c>
    </row>
    <row r="246" spans="1:27">
      <c r="A246" t="s">
        <v>724</v>
      </c>
      <c r="B246">
        <v>46265</v>
      </c>
      <c r="C246" t="s">
        <v>60</v>
      </c>
      <c r="D246" t="s">
        <v>725</v>
      </c>
      <c r="E246" t="s">
        <v>726</v>
      </c>
      <c r="F246" t="s">
        <v>61</v>
      </c>
      <c r="G246" t="s">
        <v>727</v>
      </c>
      <c r="H246" t="s">
        <v>679</v>
      </c>
      <c r="I246" s="2">
        <v>5499</v>
      </c>
      <c r="J246" s="2">
        <v>5499</v>
      </c>
      <c r="K246" s="2">
        <v>0</v>
      </c>
      <c r="L246" s="3">
        <v>0</v>
      </c>
      <c r="M246" t="s">
        <v>92</v>
      </c>
      <c r="N246" t="s">
        <v>51</v>
      </c>
      <c r="O246" t="s">
        <v>93</v>
      </c>
      <c r="P246" s="2">
        <v>9990</v>
      </c>
      <c r="Q246" s="3">
        <v>55.05</v>
      </c>
      <c r="R246" t="s">
        <v>94</v>
      </c>
      <c r="S246" t="s">
        <v>95</v>
      </c>
      <c r="T246" s="3">
        <v>53.93</v>
      </c>
      <c r="U246" s="3">
        <v>100</v>
      </c>
      <c r="V246" s="3">
        <v>80</v>
      </c>
      <c r="W246" s="3">
        <v>100</v>
      </c>
      <c r="X246" s="3">
        <v>81.180000000000007</v>
      </c>
      <c r="AA246">
        <v>46265</v>
      </c>
    </row>
    <row r="247" spans="1:27">
      <c r="A247" t="s">
        <v>728</v>
      </c>
      <c r="B247">
        <v>46265</v>
      </c>
      <c r="C247" t="s">
        <v>60</v>
      </c>
      <c r="D247" t="s">
        <v>683</v>
      </c>
      <c r="E247" t="s">
        <v>729</v>
      </c>
      <c r="F247" t="s">
        <v>61</v>
      </c>
      <c r="G247" t="s">
        <v>90</v>
      </c>
      <c r="H247" t="s">
        <v>679</v>
      </c>
      <c r="I247" s="2">
        <v>5499</v>
      </c>
      <c r="J247" s="2">
        <v>5499</v>
      </c>
      <c r="K247" s="2">
        <v>0</v>
      </c>
      <c r="L247" s="3">
        <v>0</v>
      </c>
      <c r="M247" t="s">
        <v>92</v>
      </c>
      <c r="N247" t="s">
        <v>51</v>
      </c>
      <c r="O247" t="s">
        <v>93</v>
      </c>
      <c r="P247" s="2">
        <v>9990</v>
      </c>
      <c r="Q247" s="3">
        <v>55.05</v>
      </c>
      <c r="R247" t="s">
        <v>94</v>
      </c>
      <c r="S247" t="s">
        <v>95</v>
      </c>
      <c r="T247" s="3">
        <v>53.93</v>
      </c>
      <c r="U247" s="3">
        <v>100</v>
      </c>
      <c r="V247" s="3">
        <v>80</v>
      </c>
      <c r="W247" s="3">
        <v>100</v>
      </c>
      <c r="X247" s="3">
        <v>81.180000000000007</v>
      </c>
      <c r="AA247">
        <v>46265</v>
      </c>
    </row>
    <row r="248" spans="1:27">
      <c r="A248" t="s">
        <v>730</v>
      </c>
      <c r="B248">
        <v>46265</v>
      </c>
      <c r="C248" t="s">
        <v>60</v>
      </c>
      <c r="D248" t="s">
        <v>731</v>
      </c>
      <c r="E248" t="s">
        <v>732</v>
      </c>
      <c r="F248" t="s">
        <v>61</v>
      </c>
      <c r="G248" t="s">
        <v>90</v>
      </c>
      <c r="H248" t="s">
        <v>679</v>
      </c>
      <c r="I248" s="2">
        <v>12999</v>
      </c>
      <c r="J248" s="2">
        <v>12999</v>
      </c>
      <c r="K248" s="2">
        <v>0</v>
      </c>
      <c r="L248" s="3">
        <v>0</v>
      </c>
      <c r="M248" t="s">
        <v>92</v>
      </c>
      <c r="N248" t="s">
        <v>52</v>
      </c>
      <c r="O248" t="s">
        <v>93</v>
      </c>
      <c r="P248" s="2">
        <v>9990</v>
      </c>
      <c r="Q248" s="3">
        <v>130.12</v>
      </c>
      <c r="R248" t="s">
        <v>94</v>
      </c>
      <c r="S248" t="s">
        <v>95</v>
      </c>
      <c r="T248" s="3">
        <v>53.93</v>
      </c>
      <c r="U248" s="3">
        <v>100</v>
      </c>
      <c r="V248" s="3">
        <v>80</v>
      </c>
      <c r="W248" s="3">
        <v>100</v>
      </c>
      <c r="X248" s="3">
        <v>81.180000000000007</v>
      </c>
      <c r="AA248">
        <v>46265</v>
      </c>
    </row>
    <row r="249" spans="1:27">
      <c r="A249" t="s">
        <v>733</v>
      </c>
      <c r="B249">
        <v>46265</v>
      </c>
      <c r="C249" t="s">
        <v>60</v>
      </c>
      <c r="D249" t="s">
        <v>734</v>
      </c>
      <c r="E249" t="s">
        <v>735</v>
      </c>
      <c r="F249" t="s">
        <v>61</v>
      </c>
      <c r="G249" t="s">
        <v>90</v>
      </c>
      <c r="H249" t="s">
        <v>679</v>
      </c>
      <c r="I249" s="2">
        <v>19899</v>
      </c>
      <c r="J249" s="2">
        <v>19899</v>
      </c>
      <c r="K249" s="2">
        <v>0</v>
      </c>
      <c r="L249" s="3">
        <v>0</v>
      </c>
      <c r="M249" t="s">
        <v>92</v>
      </c>
      <c r="N249" t="s">
        <v>53</v>
      </c>
      <c r="O249" t="s">
        <v>93</v>
      </c>
      <c r="P249" s="2">
        <v>9990</v>
      </c>
      <c r="Q249" s="3">
        <v>199.19</v>
      </c>
      <c r="R249" t="s">
        <v>94</v>
      </c>
      <c r="S249" t="s">
        <v>95</v>
      </c>
      <c r="T249" s="3">
        <v>53.93</v>
      </c>
      <c r="U249" s="3">
        <v>100</v>
      </c>
      <c r="V249" s="3">
        <v>80</v>
      </c>
      <c r="W249" s="3">
        <v>100</v>
      </c>
      <c r="X249" s="3">
        <v>81.180000000000007</v>
      </c>
      <c r="AA249">
        <v>46265</v>
      </c>
    </row>
    <row r="250" spans="1:27">
      <c r="A250" t="s">
        <v>736</v>
      </c>
      <c r="B250">
        <v>46265</v>
      </c>
      <c r="C250" t="s">
        <v>60</v>
      </c>
      <c r="D250" t="s">
        <v>737</v>
      </c>
      <c r="E250" t="s">
        <v>738</v>
      </c>
      <c r="F250" t="s">
        <v>61</v>
      </c>
      <c r="G250" t="s">
        <v>90</v>
      </c>
      <c r="H250" t="s">
        <v>679</v>
      </c>
      <c r="I250" s="2">
        <v>12999</v>
      </c>
      <c r="J250" s="2">
        <v>12999</v>
      </c>
      <c r="K250" s="2">
        <v>0</v>
      </c>
      <c r="L250" s="3">
        <v>0</v>
      </c>
      <c r="M250" t="s">
        <v>92</v>
      </c>
      <c r="N250" t="s">
        <v>52</v>
      </c>
      <c r="O250" t="s">
        <v>93</v>
      </c>
      <c r="P250" s="2">
        <v>9990</v>
      </c>
      <c r="Q250" s="3">
        <v>130.12</v>
      </c>
      <c r="R250" t="s">
        <v>94</v>
      </c>
      <c r="S250" t="s">
        <v>95</v>
      </c>
      <c r="T250" s="3">
        <v>53.93</v>
      </c>
      <c r="U250" s="3">
        <v>100</v>
      </c>
      <c r="V250" s="3">
        <v>80</v>
      </c>
      <c r="W250" s="3">
        <v>100</v>
      </c>
      <c r="X250" s="3">
        <v>81.180000000000007</v>
      </c>
      <c r="AA250">
        <v>46265</v>
      </c>
    </row>
    <row r="251" spans="1:27">
      <c r="A251" t="s">
        <v>739</v>
      </c>
      <c r="B251">
        <v>46265</v>
      </c>
      <c r="C251" t="s">
        <v>60</v>
      </c>
      <c r="D251" t="s">
        <v>740</v>
      </c>
      <c r="E251" t="s">
        <v>741</v>
      </c>
      <c r="F251" t="s">
        <v>61</v>
      </c>
      <c r="G251" t="s">
        <v>727</v>
      </c>
      <c r="H251" t="s">
        <v>679</v>
      </c>
      <c r="I251" s="2">
        <v>12999</v>
      </c>
      <c r="J251" s="2">
        <v>12999</v>
      </c>
      <c r="K251" s="2">
        <v>0</v>
      </c>
      <c r="L251" s="3">
        <v>0</v>
      </c>
      <c r="M251" t="s">
        <v>92</v>
      </c>
      <c r="N251" t="s">
        <v>52</v>
      </c>
      <c r="O251" t="s">
        <v>93</v>
      </c>
      <c r="P251" s="2">
        <v>9990</v>
      </c>
      <c r="Q251" s="3">
        <v>130.12</v>
      </c>
      <c r="R251" t="s">
        <v>94</v>
      </c>
      <c r="S251" t="s">
        <v>95</v>
      </c>
      <c r="T251" s="3">
        <v>53.93</v>
      </c>
      <c r="U251" s="3">
        <v>100</v>
      </c>
      <c r="V251" s="3">
        <v>80</v>
      </c>
      <c r="W251" s="3">
        <v>100</v>
      </c>
      <c r="X251" s="3">
        <v>81.180000000000007</v>
      </c>
      <c r="AA251">
        <v>46265</v>
      </c>
    </row>
    <row r="252" spans="1:27">
      <c r="A252" t="s">
        <v>742</v>
      </c>
      <c r="B252">
        <v>46265</v>
      </c>
      <c r="C252" t="s">
        <v>60</v>
      </c>
      <c r="D252" t="s">
        <v>743</v>
      </c>
      <c r="E252" t="s">
        <v>744</v>
      </c>
      <c r="F252" t="s">
        <v>63</v>
      </c>
      <c r="G252" t="s">
        <v>727</v>
      </c>
      <c r="H252" t="s">
        <v>63</v>
      </c>
      <c r="I252" s="2">
        <v>136499</v>
      </c>
      <c r="J252" s="2">
        <v>136499</v>
      </c>
      <c r="K252" s="2">
        <v>0</v>
      </c>
      <c r="L252" s="3">
        <v>0</v>
      </c>
      <c r="M252" t="s">
        <v>92</v>
      </c>
      <c r="N252" t="s">
        <v>54</v>
      </c>
      <c r="O252" t="s">
        <v>93</v>
      </c>
      <c r="P252" s="2">
        <v>23490</v>
      </c>
      <c r="Q252" s="3">
        <v>581.09</v>
      </c>
      <c r="R252" t="s">
        <v>94</v>
      </c>
      <c r="S252" t="s">
        <v>95</v>
      </c>
      <c r="T252" s="3">
        <v>53.93</v>
      </c>
      <c r="U252" s="3">
        <v>100</v>
      </c>
      <c r="V252" s="3">
        <v>80</v>
      </c>
      <c r="W252" s="3">
        <v>100</v>
      </c>
      <c r="X252" s="3">
        <v>81.180000000000007</v>
      </c>
      <c r="AA252">
        <v>46265</v>
      </c>
    </row>
    <row r="253" spans="1:27">
      <c r="A253" t="s">
        <v>745</v>
      </c>
      <c r="B253">
        <v>46265</v>
      </c>
      <c r="C253" t="s">
        <v>60</v>
      </c>
      <c r="D253" t="s">
        <v>746</v>
      </c>
      <c r="E253" t="s">
        <v>747</v>
      </c>
      <c r="F253" t="s">
        <v>63</v>
      </c>
      <c r="G253" t="s">
        <v>90</v>
      </c>
      <c r="H253" t="s">
        <v>63</v>
      </c>
      <c r="I253" s="2">
        <v>47999</v>
      </c>
      <c r="J253" s="2">
        <v>33599</v>
      </c>
      <c r="K253" s="2">
        <v>14400</v>
      </c>
      <c r="L253" s="3">
        <v>30</v>
      </c>
      <c r="M253" t="s">
        <v>336</v>
      </c>
      <c r="N253" t="s">
        <v>54</v>
      </c>
      <c r="O253" t="s">
        <v>347</v>
      </c>
      <c r="P253" s="2">
        <v>23490</v>
      </c>
      <c r="Q253" s="3">
        <v>143.04</v>
      </c>
      <c r="R253" t="s">
        <v>94</v>
      </c>
      <c r="S253" t="s">
        <v>95</v>
      </c>
      <c r="T253" s="3">
        <v>53.93</v>
      </c>
      <c r="U253" s="3">
        <v>100</v>
      </c>
      <c r="V253" s="3">
        <v>80</v>
      </c>
      <c r="W253" s="3">
        <v>100</v>
      </c>
      <c r="X253" s="3">
        <v>81.180000000000007</v>
      </c>
      <c r="AA253">
        <v>46265</v>
      </c>
    </row>
    <row r="254" spans="1:27">
      <c r="A254" t="s">
        <v>748</v>
      </c>
      <c r="B254">
        <v>46265</v>
      </c>
      <c r="C254" t="s">
        <v>60</v>
      </c>
      <c r="D254" t="s">
        <v>749</v>
      </c>
      <c r="E254" t="s">
        <v>750</v>
      </c>
      <c r="F254" t="s">
        <v>63</v>
      </c>
      <c r="G254" t="s">
        <v>90</v>
      </c>
      <c r="H254" t="s">
        <v>63</v>
      </c>
      <c r="I254" s="2">
        <v>117599</v>
      </c>
      <c r="J254" s="2">
        <v>117599</v>
      </c>
      <c r="K254" s="2">
        <v>0</v>
      </c>
      <c r="L254" s="3">
        <v>0</v>
      </c>
      <c r="M254" t="s">
        <v>92</v>
      </c>
      <c r="N254" t="s">
        <v>54</v>
      </c>
      <c r="O254" t="s">
        <v>93</v>
      </c>
      <c r="P254" s="2">
        <v>23490</v>
      </c>
      <c r="Q254" s="3">
        <v>500.63</v>
      </c>
      <c r="R254" t="s">
        <v>94</v>
      </c>
      <c r="S254" t="s">
        <v>95</v>
      </c>
      <c r="T254" s="3">
        <v>53.93</v>
      </c>
      <c r="U254" s="3">
        <v>100</v>
      </c>
      <c r="V254" s="3">
        <v>80</v>
      </c>
      <c r="W254" s="3">
        <v>100</v>
      </c>
      <c r="X254" s="3">
        <v>81.180000000000007</v>
      </c>
      <c r="AA254">
        <v>46265</v>
      </c>
    </row>
    <row r="255" spans="1:27">
      <c r="A255" t="s">
        <v>751</v>
      </c>
      <c r="B255">
        <v>46265</v>
      </c>
      <c r="C255" t="s">
        <v>60</v>
      </c>
      <c r="D255" t="s">
        <v>752</v>
      </c>
      <c r="E255" t="s">
        <v>753</v>
      </c>
      <c r="F255" t="s">
        <v>63</v>
      </c>
      <c r="G255" t="s">
        <v>90</v>
      </c>
      <c r="H255" t="s">
        <v>63</v>
      </c>
      <c r="I255" s="2">
        <v>168599</v>
      </c>
      <c r="J255" s="2">
        <v>168599</v>
      </c>
      <c r="K255" s="2">
        <v>0</v>
      </c>
      <c r="L255" s="3">
        <v>0</v>
      </c>
      <c r="M255" t="s">
        <v>92</v>
      </c>
      <c r="N255" t="s">
        <v>54</v>
      </c>
      <c r="O255" t="s">
        <v>93</v>
      </c>
      <c r="P255" s="2">
        <v>23490</v>
      </c>
      <c r="Q255" s="3">
        <v>717.75</v>
      </c>
      <c r="R255" t="s">
        <v>94</v>
      </c>
      <c r="S255" t="s">
        <v>95</v>
      </c>
      <c r="T255" s="3">
        <v>53.93</v>
      </c>
      <c r="U255" s="3">
        <v>100</v>
      </c>
      <c r="V255" s="3">
        <v>80</v>
      </c>
      <c r="W255" s="3">
        <v>100</v>
      </c>
      <c r="X255" s="3">
        <v>81.180000000000007</v>
      </c>
      <c r="AA255">
        <v>46265</v>
      </c>
    </row>
    <row r="256" spans="1:27">
      <c r="A256" t="s">
        <v>754</v>
      </c>
      <c r="B256">
        <v>46265</v>
      </c>
      <c r="C256" t="s">
        <v>60</v>
      </c>
      <c r="D256" t="s">
        <v>752</v>
      </c>
      <c r="E256" t="s">
        <v>755</v>
      </c>
      <c r="F256" t="s">
        <v>63</v>
      </c>
      <c r="G256" t="s">
        <v>90</v>
      </c>
      <c r="H256" t="s">
        <v>63</v>
      </c>
      <c r="I256" s="2">
        <v>33999</v>
      </c>
      <c r="J256" s="2">
        <v>27199</v>
      </c>
      <c r="K256" s="2">
        <v>6800</v>
      </c>
      <c r="L256" s="3">
        <v>20</v>
      </c>
      <c r="M256" t="s">
        <v>336</v>
      </c>
      <c r="N256" t="s">
        <v>53</v>
      </c>
      <c r="O256" t="s">
        <v>347</v>
      </c>
      <c r="P256" s="2">
        <v>23490</v>
      </c>
      <c r="Q256" s="3">
        <v>115.79</v>
      </c>
      <c r="R256" t="s">
        <v>94</v>
      </c>
      <c r="S256" t="s">
        <v>95</v>
      </c>
      <c r="T256" s="3">
        <v>53.93</v>
      </c>
      <c r="U256" s="3">
        <v>100</v>
      </c>
      <c r="V256" s="3">
        <v>80</v>
      </c>
      <c r="W256" s="3">
        <v>100</v>
      </c>
      <c r="X256" s="3">
        <v>81.180000000000007</v>
      </c>
      <c r="AA256">
        <v>46265</v>
      </c>
    </row>
    <row r="257" spans="1:27">
      <c r="A257" t="s">
        <v>756</v>
      </c>
      <c r="B257">
        <v>46265</v>
      </c>
      <c r="C257" t="s">
        <v>60</v>
      </c>
      <c r="D257" t="s">
        <v>752</v>
      </c>
      <c r="E257" t="s">
        <v>757</v>
      </c>
      <c r="F257" t="s">
        <v>63</v>
      </c>
      <c r="G257" t="s">
        <v>90</v>
      </c>
      <c r="H257" t="s">
        <v>63</v>
      </c>
      <c r="I257" s="2">
        <v>52499</v>
      </c>
      <c r="J257" s="2">
        <v>36749</v>
      </c>
      <c r="K257" s="2">
        <v>15750</v>
      </c>
      <c r="L257" s="3">
        <v>30</v>
      </c>
      <c r="M257" t="s">
        <v>336</v>
      </c>
      <c r="N257" t="s">
        <v>54</v>
      </c>
      <c r="O257" t="s">
        <v>347</v>
      </c>
      <c r="P257" s="2">
        <v>23490</v>
      </c>
      <c r="Q257" s="3">
        <v>156.44999999999999</v>
      </c>
      <c r="R257" t="s">
        <v>94</v>
      </c>
      <c r="S257" t="s">
        <v>95</v>
      </c>
      <c r="T257" s="3">
        <v>53.93</v>
      </c>
      <c r="U257" s="3">
        <v>100</v>
      </c>
      <c r="V257" s="3">
        <v>80</v>
      </c>
      <c r="W257" s="3">
        <v>100</v>
      </c>
      <c r="X257" s="3">
        <v>81.180000000000007</v>
      </c>
      <c r="AA257">
        <v>46265</v>
      </c>
    </row>
    <row r="258" spans="1:27">
      <c r="A258" t="s">
        <v>758</v>
      </c>
      <c r="B258">
        <v>46265</v>
      </c>
      <c r="C258" t="s">
        <v>60</v>
      </c>
      <c r="D258" t="s">
        <v>759</v>
      </c>
      <c r="E258" t="s">
        <v>760</v>
      </c>
      <c r="F258" t="s">
        <v>63</v>
      </c>
      <c r="G258" t="s">
        <v>90</v>
      </c>
      <c r="H258" t="s">
        <v>63</v>
      </c>
      <c r="I258" s="2">
        <v>9999</v>
      </c>
      <c r="J258" s="2">
        <v>5000</v>
      </c>
      <c r="K258" s="2">
        <v>4999</v>
      </c>
      <c r="L258" s="3">
        <v>49.99</v>
      </c>
      <c r="M258" t="s">
        <v>336</v>
      </c>
      <c r="N258" t="s">
        <v>51</v>
      </c>
      <c r="O258" t="s">
        <v>337</v>
      </c>
      <c r="P258" s="2">
        <v>23490</v>
      </c>
      <c r="Q258" s="3">
        <v>21.29</v>
      </c>
      <c r="R258" t="s">
        <v>94</v>
      </c>
      <c r="S258" t="s">
        <v>95</v>
      </c>
      <c r="T258" s="3">
        <v>53.93</v>
      </c>
      <c r="U258" s="3">
        <v>100</v>
      </c>
      <c r="V258" s="3">
        <v>80</v>
      </c>
      <c r="W258" s="3">
        <v>100</v>
      </c>
      <c r="X258" s="3">
        <v>81.180000000000007</v>
      </c>
      <c r="AA258">
        <v>46265</v>
      </c>
    </row>
    <row r="259" spans="1:27">
      <c r="A259" t="s">
        <v>761</v>
      </c>
      <c r="B259">
        <v>46265</v>
      </c>
      <c r="C259" t="s">
        <v>60</v>
      </c>
      <c r="D259" t="s">
        <v>762</v>
      </c>
      <c r="E259" t="s">
        <v>763</v>
      </c>
      <c r="F259" t="s">
        <v>63</v>
      </c>
      <c r="G259" t="s">
        <v>90</v>
      </c>
      <c r="H259" t="s">
        <v>63</v>
      </c>
      <c r="I259" s="2">
        <v>33799</v>
      </c>
      <c r="J259" s="2">
        <v>16900</v>
      </c>
      <c r="K259" s="2">
        <v>16899</v>
      </c>
      <c r="L259" s="3">
        <v>50</v>
      </c>
      <c r="M259" t="s">
        <v>336</v>
      </c>
      <c r="N259" t="s">
        <v>53</v>
      </c>
      <c r="O259" t="s">
        <v>337</v>
      </c>
      <c r="P259" s="2">
        <v>23490</v>
      </c>
      <c r="Q259" s="3">
        <v>71.95</v>
      </c>
      <c r="R259" t="s">
        <v>94</v>
      </c>
      <c r="S259" t="s">
        <v>95</v>
      </c>
      <c r="T259" s="3">
        <v>53.93</v>
      </c>
      <c r="U259" s="3">
        <v>100</v>
      </c>
      <c r="V259" s="3">
        <v>80</v>
      </c>
      <c r="W259" s="3">
        <v>100</v>
      </c>
      <c r="X259" s="3">
        <v>81.180000000000007</v>
      </c>
      <c r="AA259">
        <v>46265</v>
      </c>
    </row>
    <row r="260" spans="1:27">
      <c r="A260" t="s">
        <v>764</v>
      </c>
      <c r="B260">
        <v>46265</v>
      </c>
      <c r="C260" t="s">
        <v>60</v>
      </c>
      <c r="D260" t="s">
        <v>765</v>
      </c>
      <c r="E260" t="s">
        <v>766</v>
      </c>
      <c r="F260" t="s">
        <v>63</v>
      </c>
      <c r="G260" t="s">
        <v>90</v>
      </c>
      <c r="H260" t="s">
        <v>63</v>
      </c>
      <c r="I260" s="2">
        <v>10799</v>
      </c>
      <c r="J260" s="2">
        <v>4320</v>
      </c>
      <c r="K260" s="2">
        <v>6479</v>
      </c>
      <c r="L260" s="3">
        <v>60</v>
      </c>
      <c r="M260" t="s">
        <v>336</v>
      </c>
      <c r="N260" t="s">
        <v>51</v>
      </c>
      <c r="O260" t="s">
        <v>351</v>
      </c>
      <c r="P260" s="2">
        <v>23490</v>
      </c>
      <c r="Q260" s="3">
        <v>18.39</v>
      </c>
      <c r="R260" t="s">
        <v>94</v>
      </c>
      <c r="S260" t="s">
        <v>95</v>
      </c>
      <c r="T260" s="3">
        <v>53.93</v>
      </c>
      <c r="U260" s="3">
        <v>100</v>
      </c>
      <c r="V260" s="3">
        <v>80</v>
      </c>
      <c r="W260" s="3">
        <v>100</v>
      </c>
      <c r="X260" s="3">
        <v>81.180000000000007</v>
      </c>
      <c r="AA260">
        <v>46265</v>
      </c>
    </row>
    <row r="261" spans="1:27">
      <c r="A261" t="s">
        <v>767</v>
      </c>
      <c r="B261">
        <v>46265</v>
      </c>
      <c r="C261" t="s">
        <v>60</v>
      </c>
      <c r="D261" t="s">
        <v>768</v>
      </c>
      <c r="E261" t="s">
        <v>769</v>
      </c>
      <c r="F261" t="s">
        <v>63</v>
      </c>
      <c r="G261" t="s">
        <v>90</v>
      </c>
      <c r="H261" t="s">
        <v>63</v>
      </c>
      <c r="I261" s="2">
        <v>31299</v>
      </c>
      <c r="J261" s="2">
        <v>15650</v>
      </c>
      <c r="K261" s="2">
        <v>15649</v>
      </c>
      <c r="L261" s="3">
        <v>50</v>
      </c>
      <c r="M261" t="s">
        <v>336</v>
      </c>
      <c r="N261" t="s">
        <v>53</v>
      </c>
      <c r="O261" t="s">
        <v>337</v>
      </c>
      <c r="P261" s="2">
        <v>23490</v>
      </c>
      <c r="Q261" s="3">
        <v>66.62</v>
      </c>
      <c r="R261" t="s">
        <v>94</v>
      </c>
      <c r="S261" t="s">
        <v>95</v>
      </c>
      <c r="T261" s="3">
        <v>53.93</v>
      </c>
      <c r="U261" s="3">
        <v>100</v>
      </c>
      <c r="V261" s="3">
        <v>80</v>
      </c>
      <c r="W261" s="3">
        <v>100</v>
      </c>
      <c r="X261" s="3">
        <v>81.180000000000007</v>
      </c>
      <c r="AA261">
        <v>46265</v>
      </c>
    </row>
    <row r="262" spans="1:27">
      <c r="A262" t="s">
        <v>770</v>
      </c>
      <c r="B262">
        <v>46265</v>
      </c>
      <c r="C262" t="s">
        <v>60</v>
      </c>
      <c r="D262" t="s">
        <v>771</v>
      </c>
      <c r="E262" t="s">
        <v>772</v>
      </c>
      <c r="F262" t="s">
        <v>63</v>
      </c>
      <c r="G262" t="s">
        <v>90</v>
      </c>
      <c r="H262" t="s">
        <v>63</v>
      </c>
      <c r="I262" s="2">
        <v>25299</v>
      </c>
      <c r="J262" s="2">
        <v>10120</v>
      </c>
      <c r="K262" s="2">
        <v>15179</v>
      </c>
      <c r="L262" s="3">
        <v>60</v>
      </c>
      <c r="M262" t="s">
        <v>336</v>
      </c>
      <c r="N262" t="s">
        <v>52</v>
      </c>
      <c r="O262" t="s">
        <v>351</v>
      </c>
      <c r="P262" s="2">
        <v>23490</v>
      </c>
      <c r="Q262" s="3">
        <v>43.08</v>
      </c>
      <c r="R262" t="s">
        <v>94</v>
      </c>
      <c r="S262" t="s">
        <v>95</v>
      </c>
      <c r="T262" s="3">
        <v>53.93</v>
      </c>
      <c r="U262" s="3">
        <v>100</v>
      </c>
      <c r="V262" s="3">
        <v>80</v>
      </c>
      <c r="W262" s="3">
        <v>100</v>
      </c>
      <c r="X262" s="3">
        <v>81.180000000000007</v>
      </c>
      <c r="AA262">
        <v>46265</v>
      </c>
    </row>
    <row r="263" spans="1:27">
      <c r="A263" t="s">
        <v>773</v>
      </c>
      <c r="B263">
        <v>46265</v>
      </c>
      <c r="C263" t="s">
        <v>60</v>
      </c>
      <c r="D263" t="s">
        <v>774</v>
      </c>
      <c r="E263" t="s">
        <v>775</v>
      </c>
      <c r="F263" t="s">
        <v>63</v>
      </c>
      <c r="G263" t="s">
        <v>90</v>
      </c>
      <c r="H263" t="s">
        <v>63</v>
      </c>
      <c r="I263" s="2">
        <v>10399</v>
      </c>
      <c r="J263" s="2">
        <v>5200</v>
      </c>
      <c r="K263" s="2">
        <v>5199</v>
      </c>
      <c r="L263" s="3">
        <v>50</v>
      </c>
      <c r="M263" t="s">
        <v>336</v>
      </c>
      <c r="N263" t="s">
        <v>51</v>
      </c>
      <c r="O263" t="s">
        <v>337</v>
      </c>
      <c r="P263" s="2">
        <v>23490</v>
      </c>
      <c r="Q263" s="3">
        <v>22.14</v>
      </c>
      <c r="R263" t="s">
        <v>94</v>
      </c>
      <c r="S263" t="s">
        <v>95</v>
      </c>
      <c r="T263" s="3">
        <v>53.93</v>
      </c>
      <c r="U263" s="3">
        <v>100</v>
      </c>
      <c r="V263" s="3">
        <v>80</v>
      </c>
      <c r="W263" s="3">
        <v>100</v>
      </c>
      <c r="X263" s="3">
        <v>81.180000000000007</v>
      </c>
      <c r="AA263">
        <v>46265</v>
      </c>
    </row>
    <row r="264" spans="1:27">
      <c r="A264" t="s">
        <v>776</v>
      </c>
      <c r="B264">
        <v>46265</v>
      </c>
      <c r="C264" t="s">
        <v>60</v>
      </c>
      <c r="D264" t="s">
        <v>777</v>
      </c>
      <c r="E264" t="s">
        <v>778</v>
      </c>
      <c r="F264" t="s">
        <v>63</v>
      </c>
      <c r="G264" t="s">
        <v>90</v>
      </c>
      <c r="H264" t="s">
        <v>63</v>
      </c>
      <c r="I264" s="2">
        <v>29499</v>
      </c>
      <c r="J264" s="2">
        <v>14750</v>
      </c>
      <c r="K264" s="2">
        <v>14749</v>
      </c>
      <c r="L264" s="3">
        <v>50</v>
      </c>
      <c r="M264" t="s">
        <v>336</v>
      </c>
      <c r="N264" t="s">
        <v>52</v>
      </c>
      <c r="O264" t="s">
        <v>337</v>
      </c>
      <c r="P264" s="2">
        <v>23490</v>
      </c>
      <c r="Q264" s="3">
        <v>62.79</v>
      </c>
      <c r="R264" t="s">
        <v>94</v>
      </c>
      <c r="S264" t="s">
        <v>95</v>
      </c>
      <c r="T264" s="3">
        <v>53.93</v>
      </c>
      <c r="U264" s="3">
        <v>100</v>
      </c>
      <c r="V264" s="3">
        <v>80</v>
      </c>
      <c r="W264" s="3">
        <v>100</v>
      </c>
      <c r="X264" s="3">
        <v>81.180000000000007</v>
      </c>
      <c r="AA264">
        <v>46265</v>
      </c>
    </row>
    <row r="265" spans="1:27">
      <c r="A265" t="s">
        <v>779</v>
      </c>
      <c r="B265">
        <v>46265</v>
      </c>
      <c r="C265" t="s">
        <v>60</v>
      </c>
      <c r="D265" t="s">
        <v>780</v>
      </c>
      <c r="E265" t="s">
        <v>781</v>
      </c>
      <c r="F265" t="s">
        <v>63</v>
      </c>
      <c r="G265" t="s">
        <v>90</v>
      </c>
      <c r="H265" t="s">
        <v>63</v>
      </c>
      <c r="I265" s="2">
        <v>90299</v>
      </c>
      <c r="J265" s="2">
        <v>90299</v>
      </c>
      <c r="K265" s="2">
        <v>0</v>
      </c>
      <c r="L265" s="3">
        <v>0</v>
      </c>
      <c r="M265" t="s">
        <v>92</v>
      </c>
      <c r="N265" t="s">
        <v>54</v>
      </c>
      <c r="O265" t="s">
        <v>93</v>
      </c>
      <c r="P265" s="2">
        <v>23490</v>
      </c>
      <c r="Q265" s="3">
        <v>384.41</v>
      </c>
      <c r="R265" t="s">
        <v>94</v>
      </c>
      <c r="S265" t="s">
        <v>95</v>
      </c>
      <c r="T265" s="3">
        <v>53.93</v>
      </c>
      <c r="U265" s="3">
        <v>100</v>
      </c>
      <c r="V265" s="3">
        <v>80</v>
      </c>
      <c r="W265" s="3">
        <v>100</v>
      </c>
      <c r="X265" s="3">
        <v>81.180000000000007</v>
      </c>
      <c r="AA265">
        <v>46265</v>
      </c>
    </row>
    <row r="266" spans="1:27">
      <c r="A266" t="s">
        <v>782</v>
      </c>
      <c r="B266">
        <v>46265</v>
      </c>
      <c r="C266" t="s">
        <v>60</v>
      </c>
      <c r="D266" t="s">
        <v>783</v>
      </c>
      <c r="E266" t="s">
        <v>784</v>
      </c>
      <c r="F266" t="s">
        <v>63</v>
      </c>
      <c r="G266" t="s">
        <v>90</v>
      </c>
      <c r="H266" t="s">
        <v>63</v>
      </c>
      <c r="I266" s="2">
        <v>81199</v>
      </c>
      <c r="J266" s="2">
        <v>32480</v>
      </c>
      <c r="K266" s="2">
        <v>48719</v>
      </c>
      <c r="L266" s="3">
        <v>60</v>
      </c>
      <c r="M266" t="s">
        <v>336</v>
      </c>
      <c r="N266" t="s">
        <v>54</v>
      </c>
      <c r="O266" t="s">
        <v>351</v>
      </c>
      <c r="P266" s="2">
        <v>23490</v>
      </c>
      <c r="Q266" s="3">
        <v>138.27000000000001</v>
      </c>
      <c r="R266" t="s">
        <v>94</v>
      </c>
      <c r="S266" t="s">
        <v>95</v>
      </c>
      <c r="T266" s="3">
        <v>53.93</v>
      </c>
      <c r="U266" s="3">
        <v>100</v>
      </c>
      <c r="V266" s="3">
        <v>80</v>
      </c>
      <c r="W266" s="3">
        <v>100</v>
      </c>
      <c r="X266" s="3">
        <v>81.180000000000007</v>
      </c>
      <c r="AA266">
        <v>46265</v>
      </c>
    </row>
    <row r="267" spans="1:27">
      <c r="A267" t="s">
        <v>785</v>
      </c>
      <c r="B267">
        <v>46265</v>
      </c>
      <c r="C267" t="s">
        <v>60</v>
      </c>
      <c r="D267" t="s">
        <v>786</v>
      </c>
      <c r="E267" t="s">
        <v>787</v>
      </c>
      <c r="F267" t="s">
        <v>63</v>
      </c>
      <c r="G267" t="s">
        <v>90</v>
      </c>
      <c r="H267" t="s">
        <v>63</v>
      </c>
      <c r="I267" s="2">
        <v>11999</v>
      </c>
      <c r="J267" s="2">
        <v>4800</v>
      </c>
      <c r="K267" s="2">
        <v>7199</v>
      </c>
      <c r="L267" s="3">
        <v>60</v>
      </c>
      <c r="M267" t="s">
        <v>336</v>
      </c>
      <c r="N267" t="s">
        <v>51</v>
      </c>
      <c r="O267" t="s">
        <v>351</v>
      </c>
      <c r="P267" s="2">
        <v>23490</v>
      </c>
      <c r="Q267" s="3">
        <v>20.43</v>
      </c>
      <c r="R267" t="s">
        <v>94</v>
      </c>
      <c r="S267" t="s">
        <v>95</v>
      </c>
      <c r="T267" s="3">
        <v>53.93</v>
      </c>
      <c r="U267" s="3">
        <v>100</v>
      </c>
      <c r="V267" s="3">
        <v>80</v>
      </c>
      <c r="W267" s="3">
        <v>100</v>
      </c>
      <c r="X267" s="3">
        <v>81.180000000000007</v>
      </c>
      <c r="AA267">
        <v>46265</v>
      </c>
    </row>
    <row r="268" spans="1:27">
      <c r="A268" t="s">
        <v>788</v>
      </c>
      <c r="B268">
        <v>46265</v>
      </c>
      <c r="C268" t="s">
        <v>60</v>
      </c>
      <c r="D268" t="s">
        <v>789</v>
      </c>
      <c r="E268" t="s">
        <v>790</v>
      </c>
      <c r="F268" t="s">
        <v>63</v>
      </c>
      <c r="G268" t="s">
        <v>90</v>
      </c>
      <c r="H268" t="s">
        <v>63</v>
      </c>
      <c r="I268" s="2">
        <v>109399</v>
      </c>
      <c r="J268" s="2">
        <v>109399</v>
      </c>
      <c r="K268" s="2">
        <v>0</v>
      </c>
      <c r="L268" s="3">
        <v>0</v>
      </c>
      <c r="M268" t="s">
        <v>92</v>
      </c>
      <c r="N268" t="s">
        <v>54</v>
      </c>
      <c r="O268" t="s">
        <v>93</v>
      </c>
      <c r="P268" s="2">
        <v>23490</v>
      </c>
      <c r="Q268" s="3">
        <v>465.73</v>
      </c>
      <c r="R268" t="s">
        <v>94</v>
      </c>
      <c r="S268" t="s">
        <v>95</v>
      </c>
      <c r="T268" s="3">
        <v>53.93</v>
      </c>
      <c r="U268" s="3">
        <v>100</v>
      </c>
      <c r="V268" s="3">
        <v>80</v>
      </c>
      <c r="W268" s="3">
        <v>100</v>
      </c>
      <c r="X268" s="3">
        <v>81.180000000000007</v>
      </c>
      <c r="AA268">
        <v>46265</v>
      </c>
    </row>
    <row r="269" spans="1:27">
      <c r="A269" t="s">
        <v>791</v>
      </c>
      <c r="B269">
        <v>46265</v>
      </c>
      <c r="C269" t="s">
        <v>60</v>
      </c>
      <c r="D269" t="s">
        <v>792</v>
      </c>
      <c r="E269" t="s">
        <v>793</v>
      </c>
      <c r="F269" t="s">
        <v>63</v>
      </c>
      <c r="G269" t="s">
        <v>90</v>
      </c>
      <c r="H269" t="s">
        <v>63</v>
      </c>
      <c r="I269" s="2">
        <v>11899</v>
      </c>
      <c r="J269" s="2">
        <v>5950</v>
      </c>
      <c r="K269" s="2">
        <v>5949</v>
      </c>
      <c r="L269" s="3">
        <v>50</v>
      </c>
      <c r="M269" t="s">
        <v>336</v>
      </c>
      <c r="N269" t="s">
        <v>51</v>
      </c>
      <c r="O269" t="s">
        <v>337</v>
      </c>
      <c r="P269" s="2">
        <v>23490</v>
      </c>
      <c r="Q269" s="3">
        <v>25.33</v>
      </c>
      <c r="R269" t="s">
        <v>94</v>
      </c>
      <c r="S269" t="s">
        <v>95</v>
      </c>
      <c r="T269" s="3">
        <v>53.93</v>
      </c>
      <c r="U269" s="3">
        <v>100</v>
      </c>
      <c r="V269" s="3">
        <v>80</v>
      </c>
      <c r="W269" s="3">
        <v>100</v>
      </c>
      <c r="X269" s="3">
        <v>81.180000000000007</v>
      </c>
      <c r="AA269">
        <v>46265</v>
      </c>
    </row>
    <row r="270" spans="1:27">
      <c r="A270" t="s">
        <v>794</v>
      </c>
      <c r="B270">
        <v>46265</v>
      </c>
      <c r="C270" t="s">
        <v>60</v>
      </c>
      <c r="D270" t="s">
        <v>795</v>
      </c>
      <c r="E270" t="s">
        <v>796</v>
      </c>
      <c r="F270" t="s">
        <v>63</v>
      </c>
      <c r="G270" t="s">
        <v>90</v>
      </c>
      <c r="H270" t="s">
        <v>63</v>
      </c>
      <c r="I270" s="2">
        <v>11299</v>
      </c>
      <c r="J270" s="2">
        <v>4520</v>
      </c>
      <c r="K270" s="2">
        <v>6779</v>
      </c>
      <c r="L270" s="3">
        <v>60</v>
      </c>
      <c r="M270" t="s">
        <v>336</v>
      </c>
      <c r="N270" t="s">
        <v>51</v>
      </c>
      <c r="O270" t="s">
        <v>351</v>
      </c>
      <c r="P270" s="2">
        <v>23490</v>
      </c>
      <c r="Q270" s="3">
        <v>19.239999999999998</v>
      </c>
      <c r="R270" t="s">
        <v>94</v>
      </c>
      <c r="S270" t="s">
        <v>95</v>
      </c>
      <c r="T270" s="3">
        <v>53.93</v>
      </c>
      <c r="U270" s="3">
        <v>100</v>
      </c>
      <c r="V270" s="3">
        <v>80</v>
      </c>
      <c r="W270" s="3">
        <v>100</v>
      </c>
      <c r="X270" s="3">
        <v>81.180000000000007</v>
      </c>
      <c r="AA270">
        <v>46265</v>
      </c>
    </row>
    <row r="271" spans="1:27">
      <c r="A271" t="s">
        <v>797</v>
      </c>
      <c r="B271">
        <v>46265</v>
      </c>
      <c r="C271" t="s">
        <v>60</v>
      </c>
      <c r="D271" t="s">
        <v>798</v>
      </c>
      <c r="E271" t="s">
        <v>799</v>
      </c>
      <c r="F271" t="s">
        <v>63</v>
      </c>
      <c r="G271" t="s">
        <v>90</v>
      </c>
      <c r="H271" t="s">
        <v>63</v>
      </c>
      <c r="I271" s="2">
        <v>66470</v>
      </c>
      <c r="J271" s="2">
        <v>26588</v>
      </c>
      <c r="K271" s="2">
        <v>39882</v>
      </c>
      <c r="L271" s="3">
        <v>60</v>
      </c>
      <c r="M271" t="s">
        <v>336</v>
      </c>
      <c r="N271" t="s">
        <v>53</v>
      </c>
      <c r="O271" t="s">
        <v>351</v>
      </c>
      <c r="P271" s="2">
        <v>23490</v>
      </c>
      <c r="Q271" s="3">
        <v>113.19</v>
      </c>
      <c r="R271" t="s">
        <v>94</v>
      </c>
      <c r="S271" t="s">
        <v>95</v>
      </c>
      <c r="T271" s="3">
        <v>53.93</v>
      </c>
      <c r="U271" s="3">
        <v>100</v>
      </c>
      <c r="V271" s="3">
        <v>80</v>
      </c>
      <c r="W271" s="3">
        <v>100</v>
      </c>
      <c r="X271" s="3">
        <v>81.180000000000007</v>
      </c>
      <c r="AA271">
        <v>46265</v>
      </c>
    </row>
    <row r="272" spans="1:27">
      <c r="A272" t="s">
        <v>800</v>
      </c>
      <c r="B272">
        <v>46265</v>
      </c>
      <c r="C272" t="s">
        <v>60</v>
      </c>
      <c r="D272" t="s">
        <v>801</v>
      </c>
      <c r="E272" t="s">
        <v>802</v>
      </c>
      <c r="F272" t="s">
        <v>63</v>
      </c>
      <c r="G272" t="s">
        <v>90</v>
      </c>
      <c r="H272" t="s">
        <v>63</v>
      </c>
      <c r="I272" s="2">
        <v>30499</v>
      </c>
      <c r="J272" s="2">
        <v>30499</v>
      </c>
      <c r="K272" s="2">
        <v>0</v>
      </c>
      <c r="L272" s="3">
        <v>0</v>
      </c>
      <c r="M272" t="s">
        <v>92</v>
      </c>
      <c r="N272" t="s">
        <v>54</v>
      </c>
      <c r="O272" t="s">
        <v>93</v>
      </c>
      <c r="P272" s="2">
        <v>23490</v>
      </c>
      <c r="Q272" s="3">
        <v>129.84</v>
      </c>
      <c r="R272" t="s">
        <v>94</v>
      </c>
      <c r="S272" t="s">
        <v>95</v>
      </c>
      <c r="T272" s="3">
        <v>53.93</v>
      </c>
      <c r="U272" s="3">
        <v>100</v>
      </c>
      <c r="V272" s="3">
        <v>80</v>
      </c>
      <c r="W272" s="3">
        <v>100</v>
      </c>
      <c r="X272" s="3">
        <v>81.180000000000007</v>
      </c>
      <c r="AA272">
        <v>46265</v>
      </c>
    </row>
    <row r="273" spans="1:27">
      <c r="A273" t="s">
        <v>803</v>
      </c>
      <c r="B273">
        <v>46265</v>
      </c>
      <c r="C273" t="s">
        <v>60</v>
      </c>
      <c r="D273" t="s">
        <v>804</v>
      </c>
      <c r="E273" t="s">
        <v>805</v>
      </c>
      <c r="F273" t="s">
        <v>63</v>
      </c>
      <c r="G273" t="s">
        <v>90</v>
      </c>
      <c r="H273" t="s">
        <v>63</v>
      </c>
      <c r="I273" s="2">
        <v>41799</v>
      </c>
      <c r="J273" s="2">
        <v>41799</v>
      </c>
      <c r="K273" s="2">
        <v>0</v>
      </c>
      <c r="L273" s="3">
        <v>0</v>
      </c>
      <c r="M273" t="s">
        <v>92</v>
      </c>
      <c r="N273" t="s">
        <v>54</v>
      </c>
      <c r="O273" t="s">
        <v>93</v>
      </c>
      <c r="P273" s="2">
        <v>23490</v>
      </c>
      <c r="Q273" s="3">
        <v>177.94</v>
      </c>
      <c r="R273" t="s">
        <v>94</v>
      </c>
      <c r="S273" t="s">
        <v>95</v>
      </c>
      <c r="T273" s="3">
        <v>53.93</v>
      </c>
      <c r="U273" s="3">
        <v>100</v>
      </c>
      <c r="V273" s="3">
        <v>80</v>
      </c>
      <c r="W273" s="3">
        <v>100</v>
      </c>
      <c r="X273" s="3">
        <v>81.180000000000007</v>
      </c>
      <c r="AA273">
        <v>46265</v>
      </c>
    </row>
    <row r="274" spans="1:27">
      <c r="A274" t="s">
        <v>806</v>
      </c>
      <c r="B274">
        <v>46265</v>
      </c>
      <c r="C274" t="s">
        <v>60</v>
      </c>
      <c r="D274" t="s">
        <v>801</v>
      </c>
      <c r="E274" t="s">
        <v>807</v>
      </c>
      <c r="F274" t="s">
        <v>63</v>
      </c>
      <c r="G274" t="s">
        <v>90</v>
      </c>
      <c r="H274" t="s">
        <v>63</v>
      </c>
      <c r="I274" s="2">
        <v>30499</v>
      </c>
      <c r="J274" s="2">
        <v>30499</v>
      </c>
      <c r="K274" s="2">
        <v>0</v>
      </c>
      <c r="L274" s="3">
        <v>0</v>
      </c>
      <c r="M274" t="s">
        <v>92</v>
      </c>
      <c r="N274" t="s">
        <v>54</v>
      </c>
      <c r="O274" t="s">
        <v>93</v>
      </c>
      <c r="P274" s="2">
        <v>23490</v>
      </c>
      <c r="Q274" s="3">
        <v>129.84</v>
      </c>
      <c r="R274" t="s">
        <v>94</v>
      </c>
      <c r="S274" t="s">
        <v>95</v>
      </c>
      <c r="T274" s="3">
        <v>53.93</v>
      </c>
      <c r="U274" s="3">
        <v>100</v>
      </c>
      <c r="V274" s="3">
        <v>80</v>
      </c>
      <c r="W274" s="3">
        <v>100</v>
      </c>
      <c r="X274" s="3">
        <v>81.180000000000007</v>
      </c>
      <c r="AA274">
        <v>46265</v>
      </c>
    </row>
    <row r="275" spans="1:27">
      <c r="A275" t="s">
        <v>808</v>
      </c>
      <c r="B275">
        <v>46265</v>
      </c>
      <c r="C275" t="s">
        <v>60</v>
      </c>
      <c r="D275" t="s">
        <v>809</v>
      </c>
      <c r="E275" t="s">
        <v>810</v>
      </c>
      <c r="F275" t="s">
        <v>63</v>
      </c>
      <c r="G275" t="s">
        <v>90</v>
      </c>
      <c r="H275" t="s">
        <v>63</v>
      </c>
      <c r="I275" s="2">
        <v>29099</v>
      </c>
      <c r="J275" s="2">
        <v>29099</v>
      </c>
      <c r="K275" s="2">
        <v>0</v>
      </c>
      <c r="L275" s="3">
        <v>0</v>
      </c>
      <c r="M275" t="s">
        <v>92</v>
      </c>
      <c r="N275" t="s">
        <v>53</v>
      </c>
      <c r="O275" t="s">
        <v>93</v>
      </c>
      <c r="P275" s="2">
        <v>23490</v>
      </c>
      <c r="Q275" s="3">
        <v>123.88</v>
      </c>
      <c r="R275" t="s">
        <v>94</v>
      </c>
      <c r="S275" t="s">
        <v>95</v>
      </c>
      <c r="T275" s="3">
        <v>53.93</v>
      </c>
      <c r="U275" s="3">
        <v>100</v>
      </c>
      <c r="V275" s="3">
        <v>80</v>
      </c>
      <c r="W275" s="3">
        <v>100</v>
      </c>
      <c r="X275" s="3">
        <v>81.180000000000007</v>
      </c>
      <c r="AA275">
        <v>46265</v>
      </c>
    </row>
    <row r="276" spans="1:27">
      <c r="A276" t="s">
        <v>811</v>
      </c>
      <c r="B276">
        <v>46265</v>
      </c>
      <c r="C276" t="s">
        <v>60</v>
      </c>
      <c r="D276" t="s">
        <v>812</v>
      </c>
      <c r="E276" t="s">
        <v>813</v>
      </c>
      <c r="F276" t="s">
        <v>63</v>
      </c>
      <c r="G276" t="s">
        <v>90</v>
      </c>
      <c r="H276" t="s">
        <v>63</v>
      </c>
      <c r="I276" s="2">
        <v>28499</v>
      </c>
      <c r="J276" s="2">
        <v>28499</v>
      </c>
      <c r="K276" s="2">
        <v>0</v>
      </c>
      <c r="L276" s="3">
        <v>0</v>
      </c>
      <c r="M276" t="s">
        <v>92</v>
      </c>
      <c r="N276" t="s">
        <v>53</v>
      </c>
      <c r="O276" t="s">
        <v>93</v>
      </c>
      <c r="P276" s="2">
        <v>23490</v>
      </c>
      <c r="Q276" s="3">
        <v>121.32</v>
      </c>
      <c r="R276" t="s">
        <v>94</v>
      </c>
      <c r="S276" t="s">
        <v>95</v>
      </c>
      <c r="T276" s="3">
        <v>53.93</v>
      </c>
      <c r="U276" s="3">
        <v>100</v>
      </c>
      <c r="V276" s="3">
        <v>80</v>
      </c>
      <c r="W276" s="3">
        <v>100</v>
      </c>
      <c r="X276" s="3">
        <v>81.180000000000007</v>
      </c>
      <c r="AA276">
        <v>46265</v>
      </c>
    </row>
    <row r="277" spans="1:27">
      <c r="A277" t="s">
        <v>814</v>
      </c>
      <c r="B277">
        <v>46265</v>
      </c>
      <c r="C277" t="s">
        <v>60</v>
      </c>
      <c r="D277" t="s">
        <v>815</v>
      </c>
      <c r="E277" t="s">
        <v>816</v>
      </c>
      <c r="F277" t="s">
        <v>59</v>
      </c>
      <c r="G277" t="s">
        <v>90</v>
      </c>
      <c r="H277" t="s">
        <v>817</v>
      </c>
      <c r="I277" s="2">
        <v>152219</v>
      </c>
      <c r="J277" s="2">
        <v>60888</v>
      </c>
      <c r="K277" s="2">
        <v>91331</v>
      </c>
      <c r="L277" s="3">
        <v>60</v>
      </c>
      <c r="M277" t="s">
        <v>336</v>
      </c>
      <c r="N277" t="s">
        <v>54</v>
      </c>
      <c r="O277" t="s">
        <v>351</v>
      </c>
      <c r="P277" s="2">
        <v>27990</v>
      </c>
      <c r="Q277" s="3">
        <v>217.53</v>
      </c>
      <c r="R277" t="s">
        <v>94</v>
      </c>
      <c r="S277" t="s">
        <v>95</v>
      </c>
      <c r="T277" s="3">
        <v>53.93</v>
      </c>
      <c r="U277" s="3">
        <v>100</v>
      </c>
      <c r="V277" s="3">
        <v>80</v>
      </c>
      <c r="W277" s="3">
        <v>100</v>
      </c>
      <c r="X277" s="3">
        <v>81.180000000000007</v>
      </c>
      <c r="AA277">
        <v>46265</v>
      </c>
    </row>
    <row r="278" spans="1:27">
      <c r="A278" t="s">
        <v>818</v>
      </c>
      <c r="B278">
        <v>46265</v>
      </c>
      <c r="C278" t="s">
        <v>60</v>
      </c>
      <c r="D278" t="s">
        <v>819</v>
      </c>
      <c r="E278" t="s">
        <v>820</v>
      </c>
      <c r="F278" t="s">
        <v>59</v>
      </c>
      <c r="G278" t="s">
        <v>90</v>
      </c>
      <c r="H278" t="s">
        <v>817</v>
      </c>
      <c r="I278" s="2">
        <v>49499</v>
      </c>
      <c r="J278" s="2">
        <v>34649</v>
      </c>
      <c r="K278" s="2">
        <v>14850</v>
      </c>
      <c r="L278" s="3">
        <v>30</v>
      </c>
      <c r="M278" t="s">
        <v>336</v>
      </c>
      <c r="N278" t="s">
        <v>54</v>
      </c>
      <c r="O278" t="s">
        <v>347</v>
      </c>
      <c r="P278" s="2">
        <v>27990</v>
      </c>
      <c r="Q278" s="3">
        <v>123.79</v>
      </c>
      <c r="R278" t="s">
        <v>94</v>
      </c>
      <c r="S278" t="s">
        <v>95</v>
      </c>
      <c r="T278" s="3">
        <v>53.93</v>
      </c>
      <c r="U278" s="3">
        <v>100</v>
      </c>
      <c r="V278" s="3">
        <v>80</v>
      </c>
      <c r="W278" s="3">
        <v>100</v>
      </c>
      <c r="X278" s="3">
        <v>81.180000000000007</v>
      </c>
      <c r="AA278">
        <v>46265</v>
      </c>
    </row>
    <row r="279" spans="1:27">
      <c r="A279" t="s">
        <v>821</v>
      </c>
      <c r="B279">
        <v>46265</v>
      </c>
      <c r="C279" t="s">
        <v>60</v>
      </c>
      <c r="D279" t="s">
        <v>822</v>
      </c>
      <c r="E279" t="s">
        <v>823</v>
      </c>
      <c r="F279" t="s">
        <v>59</v>
      </c>
      <c r="G279" t="s">
        <v>90</v>
      </c>
      <c r="H279" t="s">
        <v>817</v>
      </c>
      <c r="I279" s="2">
        <v>64499</v>
      </c>
      <c r="J279" s="2">
        <v>32250</v>
      </c>
      <c r="K279" s="2">
        <v>32249</v>
      </c>
      <c r="L279" s="3">
        <v>50</v>
      </c>
      <c r="M279" t="s">
        <v>336</v>
      </c>
      <c r="N279" t="s">
        <v>54</v>
      </c>
      <c r="O279" t="s">
        <v>337</v>
      </c>
      <c r="P279" s="2">
        <v>27990</v>
      </c>
      <c r="Q279" s="3">
        <v>115.22</v>
      </c>
      <c r="R279" t="s">
        <v>94</v>
      </c>
      <c r="S279" t="s">
        <v>95</v>
      </c>
      <c r="T279" s="3">
        <v>53.93</v>
      </c>
      <c r="U279" s="3">
        <v>100</v>
      </c>
      <c r="V279" s="3">
        <v>80</v>
      </c>
      <c r="W279" s="3">
        <v>100</v>
      </c>
      <c r="X279" s="3">
        <v>81.180000000000007</v>
      </c>
      <c r="AA279">
        <v>46265</v>
      </c>
    </row>
    <row r="280" spans="1:27">
      <c r="A280" t="s">
        <v>824</v>
      </c>
      <c r="B280">
        <v>46265</v>
      </c>
      <c r="C280" t="s">
        <v>60</v>
      </c>
      <c r="D280" t="s">
        <v>825</v>
      </c>
      <c r="E280" t="s">
        <v>826</v>
      </c>
      <c r="F280" t="s">
        <v>59</v>
      </c>
      <c r="G280" t="s">
        <v>727</v>
      </c>
      <c r="H280" t="s">
        <v>817</v>
      </c>
      <c r="I280" s="2">
        <v>127499</v>
      </c>
      <c r="J280" s="2">
        <v>127499</v>
      </c>
      <c r="K280" s="2">
        <v>0</v>
      </c>
      <c r="L280" s="3">
        <v>0</v>
      </c>
      <c r="M280" t="s">
        <v>92</v>
      </c>
      <c r="N280" t="s">
        <v>54</v>
      </c>
      <c r="O280" t="s">
        <v>93</v>
      </c>
      <c r="P280" s="2">
        <v>27990</v>
      </c>
      <c r="Q280" s="3">
        <v>455.52</v>
      </c>
      <c r="R280" t="s">
        <v>94</v>
      </c>
      <c r="S280" t="s">
        <v>95</v>
      </c>
      <c r="T280" s="3">
        <v>53.93</v>
      </c>
      <c r="U280" s="3">
        <v>100</v>
      </c>
      <c r="V280" s="3">
        <v>80</v>
      </c>
      <c r="W280" s="3">
        <v>100</v>
      </c>
      <c r="X280" s="3">
        <v>81.180000000000007</v>
      </c>
      <c r="AA280">
        <v>46265</v>
      </c>
    </row>
    <row r="281" spans="1:27">
      <c r="A281" t="s">
        <v>827</v>
      </c>
      <c r="B281">
        <v>46265</v>
      </c>
      <c r="C281" t="s">
        <v>60</v>
      </c>
      <c r="D281" t="s">
        <v>828</v>
      </c>
      <c r="E281" t="s">
        <v>829</v>
      </c>
      <c r="F281" t="s">
        <v>59</v>
      </c>
      <c r="G281" t="s">
        <v>90</v>
      </c>
      <c r="H281" t="s">
        <v>817</v>
      </c>
      <c r="I281" s="2">
        <v>57799</v>
      </c>
      <c r="J281" s="2">
        <v>34679</v>
      </c>
      <c r="K281" s="2">
        <v>23120</v>
      </c>
      <c r="L281" s="3">
        <v>40</v>
      </c>
      <c r="M281" t="s">
        <v>336</v>
      </c>
      <c r="N281" t="s">
        <v>54</v>
      </c>
      <c r="O281" t="s">
        <v>337</v>
      </c>
      <c r="P281" s="2">
        <v>27990</v>
      </c>
      <c r="Q281" s="3">
        <v>123.9</v>
      </c>
      <c r="R281" t="s">
        <v>94</v>
      </c>
      <c r="S281" t="s">
        <v>95</v>
      </c>
      <c r="T281" s="3">
        <v>53.93</v>
      </c>
      <c r="U281" s="3">
        <v>100</v>
      </c>
      <c r="V281" s="3">
        <v>80</v>
      </c>
      <c r="W281" s="3">
        <v>100</v>
      </c>
      <c r="X281" s="3">
        <v>81.180000000000007</v>
      </c>
      <c r="AA281">
        <v>46265</v>
      </c>
    </row>
    <row r="282" spans="1:27">
      <c r="A282" t="s">
        <v>830</v>
      </c>
      <c r="B282">
        <v>46265</v>
      </c>
      <c r="C282" t="s">
        <v>60</v>
      </c>
      <c r="D282" t="s">
        <v>831</v>
      </c>
      <c r="E282" t="s">
        <v>832</v>
      </c>
      <c r="F282" t="s">
        <v>59</v>
      </c>
      <c r="G282" t="s">
        <v>90</v>
      </c>
      <c r="H282" t="s">
        <v>817</v>
      </c>
      <c r="I282" s="2">
        <v>59299</v>
      </c>
      <c r="J282" s="2">
        <v>25000</v>
      </c>
      <c r="K282" s="2">
        <v>34299</v>
      </c>
      <c r="L282" s="3">
        <v>57.84</v>
      </c>
      <c r="M282" t="s">
        <v>336</v>
      </c>
      <c r="N282" t="s">
        <v>53</v>
      </c>
      <c r="O282" t="s">
        <v>337</v>
      </c>
      <c r="P282" s="2">
        <v>27990</v>
      </c>
      <c r="Q282" s="3">
        <v>89.32</v>
      </c>
      <c r="R282" t="s">
        <v>94</v>
      </c>
      <c r="S282" t="s">
        <v>95</v>
      </c>
      <c r="T282" s="3">
        <v>53.93</v>
      </c>
      <c r="U282" s="3">
        <v>100</v>
      </c>
      <c r="V282" s="3">
        <v>80</v>
      </c>
      <c r="W282" s="3">
        <v>100</v>
      </c>
      <c r="X282" s="3">
        <v>81.180000000000007</v>
      </c>
      <c r="AA282">
        <v>46265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82"/>
  <sheetViews>
    <sheetView topLeftCell="I1" workbookViewId="0">
      <selection activeCell="O1" activeCellId="2" sqref="P2 P1:P1048576 O1:O1048576"/>
    </sheetView>
  </sheetViews>
  <sheetFormatPr defaultRowHeight="14"/>
  <cols>
    <col min="1" max="3" width="14" customWidth="1"/>
    <col min="4" max="4" width="30" customWidth="1"/>
    <col min="5" max="7" width="14" customWidth="1"/>
    <col min="8" max="8" width="21" customWidth="1"/>
    <col min="9" max="14" width="14" customWidth="1"/>
    <col min="15" max="15" width="30" hidden="1" customWidth="1"/>
    <col min="16" max="16" width="21" hidden="1" customWidth="1"/>
    <col min="17" max="17" width="14" customWidth="1"/>
  </cols>
  <sheetData>
    <row r="1" spans="1:17">
      <c r="A1" s="1" t="s">
        <v>67</v>
      </c>
      <c r="B1" s="1" t="s">
        <v>68</v>
      </c>
      <c r="C1" s="1" t="s">
        <v>12</v>
      </c>
      <c r="D1" s="1" t="s">
        <v>69</v>
      </c>
      <c r="E1" s="1" t="s">
        <v>70</v>
      </c>
      <c r="F1" s="1" t="s">
        <v>19</v>
      </c>
      <c r="G1" s="1" t="s">
        <v>20</v>
      </c>
      <c r="H1" s="1" t="s">
        <v>21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22</v>
      </c>
      <c r="N1" s="1" t="s">
        <v>80</v>
      </c>
      <c r="O1" s="1" t="s">
        <v>863</v>
      </c>
      <c r="P1" s="1" t="s">
        <v>864</v>
      </c>
      <c r="Q1" s="1" t="s">
        <v>86</v>
      </c>
    </row>
    <row r="2" spans="1:17">
      <c r="A2" t="s">
        <v>87</v>
      </c>
      <c r="B2">
        <v>46265</v>
      </c>
      <c r="C2" t="s">
        <v>56</v>
      </c>
      <c r="D2" t="s">
        <v>88</v>
      </c>
      <c r="E2" t="s">
        <v>89</v>
      </c>
      <c r="F2" t="s">
        <v>57</v>
      </c>
      <c r="G2" t="s">
        <v>90</v>
      </c>
      <c r="H2" t="s">
        <v>91</v>
      </c>
      <c r="I2">
        <v>6900</v>
      </c>
      <c r="J2">
        <v>6900</v>
      </c>
      <c r="K2">
        <v>0</v>
      </c>
      <c r="L2">
        <v>0</v>
      </c>
      <c r="M2" t="s">
        <v>94</v>
      </c>
      <c r="N2" t="s">
        <v>95</v>
      </c>
      <c r="Q2">
        <v>46265</v>
      </c>
    </row>
    <row r="3" spans="1:17">
      <c r="A3" t="s">
        <v>96</v>
      </c>
      <c r="B3">
        <v>46265</v>
      </c>
      <c r="C3" t="s">
        <v>56</v>
      </c>
      <c r="D3" t="s">
        <v>97</v>
      </c>
      <c r="E3" t="s">
        <v>98</v>
      </c>
      <c r="F3" t="s">
        <v>57</v>
      </c>
      <c r="G3" t="s">
        <v>90</v>
      </c>
      <c r="H3" t="s">
        <v>91</v>
      </c>
      <c r="I3">
        <v>6900</v>
      </c>
      <c r="J3">
        <v>6900</v>
      </c>
      <c r="K3">
        <v>0</v>
      </c>
      <c r="L3">
        <v>0</v>
      </c>
      <c r="M3" t="s">
        <v>94</v>
      </c>
      <c r="N3" t="s">
        <v>95</v>
      </c>
      <c r="Q3">
        <v>46265</v>
      </c>
    </row>
    <row r="4" spans="1:17">
      <c r="A4" t="s">
        <v>99</v>
      </c>
      <c r="B4">
        <v>46265</v>
      </c>
      <c r="C4" t="s">
        <v>56</v>
      </c>
      <c r="D4" t="s">
        <v>100</v>
      </c>
      <c r="E4" t="s">
        <v>101</v>
      </c>
      <c r="F4" t="s">
        <v>57</v>
      </c>
      <c r="G4" t="s">
        <v>90</v>
      </c>
      <c r="H4" t="s">
        <v>91</v>
      </c>
      <c r="I4">
        <v>6900</v>
      </c>
      <c r="J4">
        <v>6900</v>
      </c>
      <c r="K4">
        <v>0</v>
      </c>
      <c r="L4">
        <v>0</v>
      </c>
      <c r="M4" t="s">
        <v>94</v>
      </c>
      <c r="N4" t="s">
        <v>95</v>
      </c>
      <c r="Q4">
        <v>46265</v>
      </c>
    </row>
    <row r="5" spans="1:17">
      <c r="A5" t="s">
        <v>102</v>
      </c>
      <c r="B5">
        <v>46265</v>
      </c>
      <c r="C5" t="s">
        <v>56</v>
      </c>
      <c r="D5" t="s">
        <v>103</v>
      </c>
      <c r="E5" t="s">
        <v>104</v>
      </c>
      <c r="F5" t="s">
        <v>57</v>
      </c>
      <c r="G5" t="s">
        <v>90</v>
      </c>
      <c r="H5" t="s">
        <v>91</v>
      </c>
      <c r="I5">
        <v>6900</v>
      </c>
      <c r="J5">
        <v>6900</v>
      </c>
      <c r="K5">
        <v>0</v>
      </c>
      <c r="L5">
        <v>0</v>
      </c>
      <c r="M5" t="s">
        <v>94</v>
      </c>
      <c r="N5" t="s">
        <v>95</v>
      </c>
      <c r="Q5">
        <v>46265</v>
      </c>
    </row>
    <row r="6" spans="1:17">
      <c r="A6" t="s">
        <v>105</v>
      </c>
      <c r="B6">
        <v>46265</v>
      </c>
      <c r="C6" t="s">
        <v>56</v>
      </c>
      <c r="D6" t="s">
        <v>106</v>
      </c>
      <c r="E6" t="s">
        <v>107</v>
      </c>
      <c r="F6" t="s">
        <v>57</v>
      </c>
      <c r="G6" t="s">
        <v>90</v>
      </c>
      <c r="H6" t="s">
        <v>91</v>
      </c>
      <c r="I6">
        <v>4500</v>
      </c>
      <c r="J6">
        <v>4500</v>
      </c>
      <c r="K6">
        <v>0</v>
      </c>
      <c r="L6">
        <v>0</v>
      </c>
      <c r="M6" t="s">
        <v>94</v>
      </c>
      <c r="N6" t="s">
        <v>95</v>
      </c>
      <c r="Q6">
        <v>46265</v>
      </c>
    </row>
    <row r="7" spans="1:17">
      <c r="A7" t="s">
        <v>108</v>
      </c>
      <c r="B7">
        <v>46265</v>
      </c>
      <c r="C7" t="s">
        <v>56</v>
      </c>
      <c r="D7" t="s">
        <v>109</v>
      </c>
      <c r="E7" t="s">
        <v>110</v>
      </c>
      <c r="F7" t="s">
        <v>57</v>
      </c>
      <c r="G7" t="s">
        <v>90</v>
      </c>
      <c r="H7" t="s">
        <v>91</v>
      </c>
      <c r="I7">
        <v>5500</v>
      </c>
      <c r="J7">
        <v>5500</v>
      </c>
      <c r="K7">
        <v>0</v>
      </c>
      <c r="L7">
        <v>0</v>
      </c>
      <c r="M7" t="s">
        <v>94</v>
      </c>
      <c r="N7" t="s">
        <v>95</v>
      </c>
      <c r="Q7">
        <v>46265</v>
      </c>
    </row>
    <row r="8" spans="1:17">
      <c r="A8" t="s">
        <v>111</v>
      </c>
      <c r="B8">
        <v>46265</v>
      </c>
      <c r="C8" t="s">
        <v>56</v>
      </c>
      <c r="D8" t="s">
        <v>112</v>
      </c>
      <c r="E8" t="s">
        <v>113</v>
      </c>
      <c r="F8" t="s">
        <v>57</v>
      </c>
      <c r="G8" t="s">
        <v>90</v>
      </c>
      <c r="H8" t="s">
        <v>91</v>
      </c>
      <c r="I8">
        <v>5500</v>
      </c>
      <c r="J8">
        <v>5500</v>
      </c>
      <c r="K8">
        <v>0</v>
      </c>
      <c r="L8">
        <v>0</v>
      </c>
      <c r="M8" t="s">
        <v>94</v>
      </c>
      <c r="N8" t="s">
        <v>95</v>
      </c>
      <c r="Q8">
        <v>46265</v>
      </c>
    </row>
    <row r="9" spans="1:17">
      <c r="A9" t="s">
        <v>114</v>
      </c>
      <c r="B9">
        <v>46265</v>
      </c>
      <c r="C9" t="s">
        <v>56</v>
      </c>
      <c r="D9" t="s">
        <v>115</v>
      </c>
      <c r="E9" t="s">
        <v>116</v>
      </c>
      <c r="F9" t="s">
        <v>57</v>
      </c>
      <c r="G9" t="s">
        <v>90</v>
      </c>
      <c r="H9" t="s">
        <v>91</v>
      </c>
      <c r="I9">
        <v>5900</v>
      </c>
      <c r="J9">
        <v>5900</v>
      </c>
      <c r="K9">
        <v>0</v>
      </c>
      <c r="L9">
        <v>0</v>
      </c>
      <c r="M9" t="s">
        <v>94</v>
      </c>
      <c r="N9" t="s">
        <v>95</v>
      </c>
      <c r="Q9">
        <v>46265</v>
      </c>
    </row>
    <row r="10" spans="1:17">
      <c r="A10" t="s">
        <v>117</v>
      </c>
      <c r="B10">
        <v>46265</v>
      </c>
      <c r="C10" t="s">
        <v>56</v>
      </c>
      <c r="D10" t="s">
        <v>118</v>
      </c>
      <c r="E10" t="s">
        <v>119</v>
      </c>
      <c r="F10" t="s">
        <v>57</v>
      </c>
      <c r="G10" t="s">
        <v>90</v>
      </c>
      <c r="H10" t="s">
        <v>91</v>
      </c>
      <c r="I10">
        <v>5900</v>
      </c>
      <c r="J10">
        <v>5900</v>
      </c>
      <c r="K10">
        <v>0</v>
      </c>
      <c r="L10">
        <v>0</v>
      </c>
      <c r="M10" t="s">
        <v>94</v>
      </c>
      <c r="N10" t="s">
        <v>95</v>
      </c>
      <c r="Q10">
        <v>46265</v>
      </c>
    </row>
    <row r="11" spans="1:17">
      <c r="A11" t="s">
        <v>120</v>
      </c>
      <c r="B11">
        <v>46265</v>
      </c>
      <c r="C11" t="s">
        <v>56</v>
      </c>
      <c r="D11" t="s">
        <v>121</v>
      </c>
      <c r="E11" t="s">
        <v>122</v>
      </c>
      <c r="F11" t="s">
        <v>57</v>
      </c>
      <c r="G11" t="s">
        <v>90</v>
      </c>
      <c r="H11" t="s">
        <v>91</v>
      </c>
      <c r="I11">
        <v>5900</v>
      </c>
      <c r="J11">
        <v>5900</v>
      </c>
      <c r="K11">
        <v>0</v>
      </c>
      <c r="L11">
        <v>0</v>
      </c>
      <c r="M11" t="s">
        <v>94</v>
      </c>
      <c r="N11" t="s">
        <v>95</v>
      </c>
      <c r="Q11">
        <v>46265</v>
      </c>
    </row>
    <row r="12" spans="1:17">
      <c r="A12" t="s">
        <v>123</v>
      </c>
      <c r="B12">
        <v>46265</v>
      </c>
      <c r="C12" t="s">
        <v>56</v>
      </c>
      <c r="D12" t="s">
        <v>124</v>
      </c>
      <c r="E12" t="s">
        <v>125</v>
      </c>
      <c r="F12" t="s">
        <v>57</v>
      </c>
      <c r="G12" t="s">
        <v>126</v>
      </c>
      <c r="H12" t="s">
        <v>91</v>
      </c>
      <c r="I12">
        <v>4990</v>
      </c>
      <c r="J12">
        <v>4990</v>
      </c>
      <c r="K12">
        <v>0</v>
      </c>
      <c r="L12">
        <v>0</v>
      </c>
      <c r="M12" t="s">
        <v>94</v>
      </c>
      <c r="N12" t="s">
        <v>95</v>
      </c>
      <c r="Q12">
        <v>46265</v>
      </c>
    </row>
    <row r="13" spans="1:17">
      <c r="A13" t="s">
        <v>127</v>
      </c>
      <c r="B13">
        <v>46265</v>
      </c>
      <c r="C13" t="s">
        <v>56</v>
      </c>
      <c r="D13" t="s">
        <v>128</v>
      </c>
      <c r="E13" t="s">
        <v>129</v>
      </c>
      <c r="F13" t="s">
        <v>57</v>
      </c>
      <c r="G13" t="s">
        <v>126</v>
      </c>
      <c r="H13" t="s">
        <v>91</v>
      </c>
      <c r="I13">
        <v>4990</v>
      </c>
      <c r="J13">
        <v>4990</v>
      </c>
      <c r="K13">
        <v>0</v>
      </c>
      <c r="L13">
        <v>0</v>
      </c>
      <c r="M13" t="s">
        <v>94</v>
      </c>
      <c r="N13" t="s">
        <v>95</v>
      </c>
      <c r="Q13">
        <v>46265</v>
      </c>
    </row>
    <row r="14" spans="1:17">
      <c r="A14" t="s">
        <v>130</v>
      </c>
      <c r="B14">
        <v>46265</v>
      </c>
      <c r="C14" t="s">
        <v>56</v>
      </c>
      <c r="D14" t="s">
        <v>131</v>
      </c>
      <c r="E14" t="s">
        <v>132</v>
      </c>
      <c r="F14" t="s">
        <v>57</v>
      </c>
      <c r="G14" t="s">
        <v>126</v>
      </c>
      <c r="H14" t="s">
        <v>91</v>
      </c>
      <c r="I14">
        <v>4990</v>
      </c>
      <c r="J14">
        <v>4990</v>
      </c>
      <c r="K14">
        <v>0</v>
      </c>
      <c r="L14">
        <v>0</v>
      </c>
      <c r="M14" t="s">
        <v>94</v>
      </c>
      <c r="N14" t="s">
        <v>95</v>
      </c>
      <c r="Q14">
        <v>46265</v>
      </c>
    </row>
    <row r="15" spans="1:17">
      <c r="A15" t="s">
        <v>133</v>
      </c>
      <c r="B15">
        <v>46265</v>
      </c>
      <c r="C15" t="s">
        <v>56</v>
      </c>
      <c r="D15" t="s">
        <v>134</v>
      </c>
      <c r="E15" t="s">
        <v>135</v>
      </c>
      <c r="F15" t="s">
        <v>57</v>
      </c>
      <c r="G15" t="s">
        <v>126</v>
      </c>
      <c r="H15" t="s">
        <v>91</v>
      </c>
      <c r="I15">
        <v>4990</v>
      </c>
      <c r="J15">
        <v>4990</v>
      </c>
      <c r="K15">
        <v>0</v>
      </c>
      <c r="L15">
        <v>0</v>
      </c>
      <c r="M15" t="s">
        <v>94</v>
      </c>
      <c r="N15" t="s">
        <v>95</v>
      </c>
      <c r="Q15">
        <v>46265</v>
      </c>
    </row>
    <row r="16" spans="1:17">
      <c r="A16" t="s">
        <v>136</v>
      </c>
      <c r="B16">
        <v>46265</v>
      </c>
      <c r="C16" t="s">
        <v>56</v>
      </c>
      <c r="D16" t="s">
        <v>137</v>
      </c>
      <c r="E16" t="s">
        <v>138</v>
      </c>
      <c r="F16" t="s">
        <v>57</v>
      </c>
      <c r="G16" t="s">
        <v>139</v>
      </c>
      <c r="H16" t="s">
        <v>91</v>
      </c>
      <c r="I16">
        <v>6990</v>
      </c>
      <c r="J16">
        <v>6990</v>
      </c>
      <c r="K16">
        <v>0</v>
      </c>
      <c r="L16">
        <v>0</v>
      </c>
      <c r="M16" t="s">
        <v>94</v>
      </c>
      <c r="N16" t="s">
        <v>95</v>
      </c>
      <c r="Q16">
        <v>46265</v>
      </c>
    </row>
    <row r="17" spans="1:17">
      <c r="A17" t="s">
        <v>140</v>
      </c>
      <c r="B17">
        <v>46265</v>
      </c>
      <c r="C17" t="s">
        <v>56</v>
      </c>
      <c r="D17" t="s">
        <v>141</v>
      </c>
      <c r="E17" t="s">
        <v>142</v>
      </c>
      <c r="F17" t="s">
        <v>57</v>
      </c>
      <c r="G17" t="s">
        <v>139</v>
      </c>
      <c r="H17" t="s">
        <v>91</v>
      </c>
      <c r="I17">
        <v>6990</v>
      </c>
      <c r="J17">
        <v>6990</v>
      </c>
      <c r="K17">
        <v>0</v>
      </c>
      <c r="L17">
        <v>0</v>
      </c>
      <c r="M17" t="s">
        <v>94</v>
      </c>
      <c r="N17" t="s">
        <v>95</v>
      </c>
      <c r="Q17">
        <v>46265</v>
      </c>
    </row>
    <row r="18" spans="1:17">
      <c r="A18" t="s">
        <v>143</v>
      </c>
      <c r="B18">
        <v>46265</v>
      </c>
      <c r="C18" t="s">
        <v>56</v>
      </c>
      <c r="D18" t="s">
        <v>144</v>
      </c>
      <c r="E18" t="s">
        <v>145</v>
      </c>
      <c r="F18" t="s">
        <v>57</v>
      </c>
      <c r="G18" t="s">
        <v>139</v>
      </c>
      <c r="H18" t="s">
        <v>91</v>
      </c>
      <c r="I18">
        <v>6990</v>
      </c>
      <c r="J18">
        <v>6990</v>
      </c>
      <c r="K18">
        <v>0</v>
      </c>
      <c r="L18">
        <v>0</v>
      </c>
      <c r="M18" t="s">
        <v>94</v>
      </c>
      <c r="N18" t="s">
        <v>95</v>
      </c>
      <c r="Q18">
        <v>46265</v>
      </c>
    </row>
    <row r="19" spans="1:17">
      <c r="A19" t="s">
        <v>146</v>
      </c>
      <c r="B19">
        <v>46265</v>
      </c>
      <c r="C19" t="s">
        <v>56</v>
      </c>
      <c r="D19" t="s">
        <v>147</v>
      </c>
      <c r="E19" t="s">
        <v>148</v>
      </c>
      <c r="F19" t="s">
        <v>57</v>
      </c>
      <c r="G19" t="s">
        <v>139</v>
      </c>
      <c r="H19" t="s">
        <v>91</v>
      </c>
      <c r="I19">
        <v>6990</v>
      </c>
      <c r="J19">
        <v>6990</v>
      </c>
      <c r="K19">
        <v>0</v>
      </c>
      <c r="L19">
        <v>0</v>
      </c>
      <c r="M19" t="s">
        <v>94</v>
      </c>
      <c r="N19" t="s">
        <v>95</v>
      </c>
      <c r="Q19">
        <v>46265</v>
      </c>
    </row>
    <row r="20" spans="1:17">
      <c r="A20" t="s">
        <v>149</v>
      </c>
      <c r="B20">
        <v>46265</v>
      </c>
      <c r="C20" t="s">
        <v>56</v>
      </c>
      <c r="D20" t="s">
        <v>150</v>
      </c>
      <c r="E20" t="s">
        <v>151</v>
      </c>
      <c r="F20" t="s">
        <v>57</v>
      </c>
      <c r="G20" t="s">
        <v>139</v>
      </c>
      <c r="H20" t="s">
        <v>91</v>
      </c>
      <c r="I20">
        <v>5990</v>
      </c>
      <c r="J20">
        <v>5990</v>
      </c>
      <c r="K20">
        <v>0</v>
      </c>
      <c r="L20">
        <v>0</v>
      </c>
      <c r="M20" t="s">
        <v>94</v>
      </c>
      <c r="N20" t="s">
        <v>95</v>
      </c>
      <c r="Q20">
        <v>46265</v>
      </c>
    </row>
    <row r="21" spans="1:17">
      <c r="A21" t="s">
        <v>152</v>
      </c>
      <c r="B21">
        <v>46265</v>
      </c>
      <c r="C21" t="s">
        <v>56</v>
      </c>
      <c r="D21" t="s">
        <v>153</v>
      </c>
      <c r="E21" t="s">
        <v>154</v>
      </c>
      <c r="F21" t="s">
        <v>57</v>
      </c>
      <c r="G21" t="s">
        <v>139</v>
      </c>
      <c r="H21" t="s">
        <v>91</v>
      </c>
      <c r="I21">
        <v>5990</v>
      </c>
      <c r="J21">
        <v>5990</v>
      </c>
      <c r="K21">
        <v>0</v>
      </c>
      <c r="L21">
        <v>0</v>
      </c>
      <c r="M21" t="s">
        <v>94</v>
      </c>
      <c r="N21" t="s">
        <v>95</v>
      </c>
      <c r="Q21">
        <v>46265</v>
      </c>
    </row>
    <row r="22" spans="1:17">
      <c r="A22" t="s">
        <v>155</v>
      </c>
      <c r="B22">
        <v>46265</v>
      </c>
      <c r="C22" t="s">
        <v>56</v>
      </c>
      <c r="D22" t="s">
        <v>156</v>
      </c>
      <c r="E22" t="s">
        <v>157</v>
      </c>
      <c r="F22" t="s">
        <v>57</v>
      </c>
      <c r="G22" t="s">
        <v>139</v>
      </c>
      <c r="H22" t="s">
        <v>91</v>
      </c>
      <c r="I22">
        <v>5990</v>
      </c>
      <c r="J22">
        <v>5990</v>
      </c>
      <c r="K22">
        <v>0</v>
      </c>
      <c r="L22">
        <v>0</v>
      </c>
      <c r="M22" t="s">
        <v>94</v>
      </c>
      <c r="N22" t="s">
        <v>95</v>
      </c>
      <c r="Q22">
        <v>46265</v>
      </c>
    </row>
    <row r="23" spans="1:17">
      <c r="A23" t="s">
        <v>158</v>
      </c>
      <c r="B23">
        <v>46265</v>
      </c>
      <c r="C23" t="s">
        <v>56</v>
      </c>
      <c r="D23" t="s">
        <v>159</v>
      </c>
      <c r="E23" t="s">
        <v>160</v>
      </c>
      <c r="F23" t="s">
        <v>57</v>
      </c>
      <c r="G23" t="s">
        <v>139</v>
      </c>
      <c r="H23" t="s">
        <v>91</v>
      </c>
      <c r="I23">
        <v>5990</v>
      </c>
      <c r="J23">
        <v>5990</v>
      </c>
      <c r="K23">
        <v>0</v>
      </c>
      <c r="L23">
        <v>0</v>
      </c>
      <c r="M23" t="s">
        <v>94</v>
      </c>
      <c r="N23" t="s">
        <v>95</v>
      </c>
      <c r="Q23">
        <v>46265</v>
      </c>
    </row>
    <row r="24" spans="1:17">
      <c r="A24" t="s">
        <v>161</v>
      </c>
      <c r="B24">
        <v>46265</v>
      </c>
      <c r="C24" t="s">
        <v>56</v>
      </c>
      <c r="D24" t="s">
        <v>162</v>
      </c>
      <c r="E24" t="s">
        <v>163</v>
      </c>
      <c r="F24" t="s">
        <v>57</v>
      </c>
      <c r="G24" t="s">
        <v>139</v>
      </c>
      <c r="H24" t="s">
        <v>91</v>
      </c>
      <c r="I24">
        <v>7490</v>
      </c>
      <c r="J24">
        <v>7490</v>
      </c>
      <c r="K24">
        <v>0</v>
      </c>
      <c r="L24">
        <v>0</v>
      </c>
      <c r="M24" t="s">
        <v>94</v>
      </c>
      <c r="N24" t="s">
        <v>95</v>
      </c>
      <c r="Q24">
        <v>46265</v>
      </c>
    </row>
    <row r="25" spans="1:17">
      <c r="A25" t="s">
        <v>164</v>
      </c>
      <c r="B25">
        <v>46265</v>
      </c>
      <c r="C25" t="s">
        <v>56</v>
      </c>
      <c r="D25" t="s">
        <v>165</v>
      </c>
      <c r="E25" t="s">
        <v>166</v>
      </c>
      <c r="F25" t="s">
        <v>57</v>
      </c>
      <c r="G25" t="s">
        <v>139</v>
      </c>
      <c r="H25" t="s">
        <v>91</v>
      </c>
      <c r="I25">
        <v>7490</v>
      </c>
      <c r="J25">
        <v>7490</v>
      </c>
      <c r="K25">
        <v>0</v>
      </c>
      <c r="L25">
        <v>0</v>
      </c>
      <c r="M25" t="s">
        <v>94</v>
      </c>
      <c r="N25" t="s">
        <v>95</v>
      </c>
      <c r="Q25">
        <v>46265</v>
      </c>
    </row>
    <row r="26" spans="1:17">
      <c r="A26" t="s">
        <v>167</v>
      </c>
      <c r="B26">
        <v>46265</v>
      </c>
      <c r="C26" t="s">
        <v>56</v>
      </c>
      <c r="D26" t="s">
        <v>168</v>
      </c>
      <c r="E26" t="s">
        <v>169</v>
      </c>
      <c r="F26" t="s">
        <v>57</v>
      </c>
      <c r="G26" t="s">
        <v>139</v>
      </c>
      <c r="H26" t="s">
        <v>91</v>
      </c>
      <c r="I26">
        <v>7490</v>
      </c>
      <c r="J26">
        <v>7490</v>
      </c>
      <c r="K26">
        <v>0</v>
      </c>
      <c r="L26">
        <v>0</v>
      </c>
      <c r="M26" t="s">
        <v>94</v>
      </c>
      <c r="N26" t="s">
        <v>95</v>
      </c>
      <c r="Q26">
        <v>46265</v>
      </c>
    </row>
    <row r="27" spans="1:17">
      <c r="A27" t="s">
        <v>170</v>
      </c>
      <c r="B27">
        <v>46265</v>
      </c>
      <c r="C27" t="s">
        <v>56</v>
      </c>
      <c r="D27" t="s">
        <v>168</v>
      </c>
      <c r="E27" t="s">
        <v>171</v>
      </c>
      <c r="F27" t="s">
        <v>57</v>
      </c>
      <c r="G27" t="s">
        <v>139</v>
      </c>
      <c r="H27" t="s">
        <v>91</v>
      </c>
      <c r="I27">
        <v>6990</v>
      </c>
      <c r="J27">
        <v>6990</v>
      </c>
      <c r="K27">
        <v>0</v>
      </c>
      <c r="L27">
        <v>0</v>
      </c>
      <c r="M27" t="s">
        <v>94</v>
      </c>
      <c r="N27" t="s">
        <v>95</v>
      </c>
      <c r="Q27">
        <v>46265</v>
      </c>
    </row>
    <row r="28" spans="1:17">
      <c r="A28" t="s">
        <v>172</v>
      </c>
      <c r="B28">
        <v>46265</v>
      </c>
      <c r="C28" t="s">
        <v>56</v>
      </c>
      <c r="D28" t="s">
        <v>173</v>
      </c>
      <c r="E28" t="s">
        <v>174</v>
      </c>
      <c r="F28" t="s">
        <v>57</v>
      </c>
      <c r="G28" t="s">
        <v>139</v>
      </c>
      <c r="H28" t="s">
        <v>91</v>
      </c>
      <c r="I28">
        <v>6990</v>
      </c>
      <c r="J28">
        <v>6990</v>
      </c>
      <c r="K28">
        <v>0</v>
      </c>
      <c r="L28">
        <v>0</v>
      </c>
      <c r="M28" t="s">
        <v>94</v>
      </c>
      <c r="N28" t="s">
        <v>95</v>
      </c>
      <c r="Q28">
        <v>46265</v>
      </c>
    </row>
    <row r="29" spans="1:17">
      <c r="A29" t="s">
        <v>175</v>
      </c>
      <c r="B29">
        <v>46265</v>
      </c>
      <c r="C29" t="s">
        <v>56</v>
      </c>
      <c r="D29" t="s">
        <v>176</v>
      </c>
      <c r="E29" t="s">
        <v>177</v>
      </c>
      <c r="F29" t="s">
        <v>57</v>
      </c>
      <c r="G29" t="s">
        <v>139</v>
      </c>
      <c r="H29" t="s">
        <v>91</v>
      </c>
      <c r="I29">
        <v>6990</v>
      </c>
      <c r="J29">
        <v>6990</v>
      </c>
      <c r="K29">
        <v>0</v>
      </c>
      <c r="L29">
        <v>0</v>
      </c>
      <c r="M29" t="s">
        <v>94</v>
      </c>
      <c r="N29" t="s">
        <v>95</v>
      </c>
      <c r="Q29">
        <v>46265</v>
      </c>
    </row>
    <row r="30" spans="1:17">
      <c r="A30" t="s">
        <v>178</v>
      </c>
      <c r="B30">
        <v>46265</v>
      </c>
      <c r="C30" t="s">
        <v>56</v>
      </c>
      <c r="D30" t="s">
        <v>173</v>
      </c>
      <c r="E30" t="s">
        <v>179</v>
      </c>
      <c r="F30" t="s">
        <v>57</v>
      </c>
      <c r="G30" t="s">
        <v>139</v>
      </c>
      <c r="H30" t="s">
        <v>91</v>
      </c>
      <c r="I30">
        <v>5990</v>
      </c>
      <c r="J30">
        <v>5990</v>
      </c>
      <c r="K30">
        <v>0</v>
      </c>
      <c r="L30">
        <v>0</v>
      </c>
      <c r="M30" t="s">
        <v>94</v>
      </c>
      <c r="N30" t="s">
        <v>95</v>
      </c>
      <c r="Q30">
        <v>46265</v>
      </c>
    </row>
    <row r="31" spans="1:17">
      <c r="A31" t="s">
        <v>180</v>
      </c>
      <c r="B31">
        <v>46265</v>
      </c>
      <c r="C31" t="s">
        <v>56</v>
      </c>
      <c r="D31" t="s">
        <v>173</v>
      </c>
      <c r="E31" t="s">
        <v>181</v>
      </c>
      <c r="F31" t="s">
        <v>57</v>
      </c>
      <c r="G31" t="s">
        <v>139</v>
      </c>
      <c r="H31" t="s">
        <v>91</v>
      </c>
      <c r="I31">
        <v>5990</v>
      </c>
      <c r="J31">
        <v>5990</v>
      </c>
      <c r="K31">
        <v>0</v>
      </c>
      <c r="L31">
        <v>0</v>
      </c>
      <c r="M31" t="s">
        <v>94</v>
      </c>
      <c r="N31" t="s">
        <v>95</v>
      </c>
      <c r="Q31">
        <v>46265</v>
      </c>
    </row>
    <row r="32" spans="1:17">
      <c r="A32" t="s">
        <v>182</v>
      </c>
      <c r="B32">
        <v>46265</v>
      </c>
      <c r="C32" t="s">
        <v>56</v>
      </c>
      <c r="D32" t="s">
        <v>173</v>
      </c>
      <c r="E32" t="s">
        <v>183</v>
      </c>
      <c r="F32" t="s">
        <v>57</v>
      </c>
      <c r="G32" t="s">
        <v>139</v>
      </c>
      <c r="H32" t="s">
        <v>91</v>
      </c>
      <c r="I32">
        <v>5990</v>
      </c>
      <c r="J32">
        <v>5990</v>
      </c>
      <c r="K32">
        <v>0</v>
      </c>
      <c r="L32">
        <v>0</v>
      </c>
      <c r="M32" t="s">
        <v>94</v>
      </c>
      <c r="N32" t="s">
        <v>95</v>
      </c>
      <c r="Q32">
        <v>46265</v>
      </c>
    </row>
    <row r="33" spans="1:17">
      <c r="A33" t="s">
        <v>184</v>
      </c>
      <c r="B33">
        <v>46265</v>
      </c>
      <c r="C33" t="s">
        <v>56</v>
      </c>
      <c r="D33" t="s">
        <v>185</v>
      </c>
      <c r="E33" t="s">
        <v>186</v>
      </c>
      <c r="F33" t="s">
        <v>57</v>
      </c>
      <c r="G33" t="s">
        <v>139</v>
      </c>
      <c r="H33" t="s">
        <v>91</v>
      </c>
      <c r="I33">
        <v>5990</v>
      </c>
      <c r="J33">
        <v>5990</v>
      </c>
      <c r="K33">
        <v>0</v>
      </c>
      <c r="L33">
        <v>0</v>
      </c>
      <c r="M33" t="s">
        <v>94</v>
      </c>
      <c r="N33" t="s">
        <v>95</v>
      </c>
      <c r="Q33">
        <v>46265</v>
      </c>
    </row>
    <row r="34" spans="1:17">
      <c r="A34" t="s">
        <v>187</v>
      </c>
      <c r="B34">
        <v>46265</v>
      </c>
      <c r="C34" t="s">
        <v>56</v>
      </c>
      <c r="D34" t="s">
        <v>188</v>
      </c>
      <c r="E34" t="s">
        <v>189</v>
      </c>
      <c r="F34" t="s">
        <v>57</v>
      </c>
      <c r="G34" t="s">
        <v>139</v>
      </c>
      <c r="H34" t="s">
        <v>91</v>
      </c>
      <c r="I34">
        <v>5990</v>
      </c>
      <c r="J34">
        <v>5990</v>
      </c>
      <c r="K34">
        <v>0</v>
      </c>
      <c r="L34">
        <v>0</v>
      </c>
      <c r="M34" t="s">
        <v>94</v>
      </c>
      <c r="N34" t="s">
        <v>95</v>
      </c>
      <c r="Q34">
        <v>46265</v>
      </c>
    </row>
    <row r="35" spans="1:17">
      <c r="A35" t="s">
        <v>190</v>
      </c>
      <c r="B35">
        <v>46265</v>
      </c>
      <c r="C35" t="s">
        <v>56</v>
      </c>
      <c r="D35" t="s">
        <v>168</v>
      </c>
      <c r="E35" t="s">
        <v>191</v>
      </c>
      <c r="F35" t="s">
        <v>57</v>
      </c>
      <c r="G35" t="s">
        <v>139</v>
      </c>
      <c r="H35" t="s">
        <v>91</v>
      </c>
      <c r="I35">
        <v>5990</v>
      </c>
      <c r="J35">
        <v>5990</v>
      </c>
      <c r="K35">
        <v>0</v>
      </c>
      <c r="L35">
        <v>0</v>
      </c>
      <c r="M35" t="s">
        <v>94</v>
      </c>
      <c r="N35" t="s">
        <v>95</v>
      </c>
      <c r="Q35">
        <v>46265</v>
      </c>
    </row>
    <row r="36" spans="1:17">
      <c r="A36" t="s">
        <v>192</v>
      </c>
      <c r="B36">
        <v>46265</v>
      </c>
      <c r="C36" t="s">
        <v>56</v>
      </c>
      <c r="D36" t="s">
        <v>193</v>
      </c>
      <c r="E36" t="s">
        <v>194</v>
      </c>
      <c r="F36" t="s">
        <v>61</v>
      </c>
      <c r="G36" t="s">
        <v>139</v>
      </c>
      <c r="H36" t="s">
        <v>195</v>
      </c>
      <c r="I36">
        <v>10990</v>
      </c>
      <c r="J36">
        <v>10990</v>
      </c>
      <c r="K36">
        <v>0</v>
      </c>
      <c r="L36">
        <v>0</v>
      </c>
      <c r="M36" t="s">
        <v>94</v>
      </c>
      <c r="N36" t="s">
        <v>95</v>
      </c>
      <c r="Q36">
        <v>46265</v>
      </c>
    </row>
    <row r="37" spans="1:17">
      <c r="A37" t="s">
        <v>196</v>
      </c>
      <c r="B37">
        <v>46265</v>
      </c>
      <c r="C37" t="s">
        <v>56</v>
      </c>
      <c r="D37" t="s">
        <v>197</v>
      </c>
      <c r="E37" t="s">
        <v>198</v>
      </c>
      <c r="F37" t="s">
        <v>61</v>
      </c>
      <c r="G37" t="s">
        <v>90</v>
      </c>
      <c r="H37" t="s">
        <v>195</v>
      </c>
      <c r="I37">
        <v>9990</v>
      </c>
      <c r="J37">
        <v>9990</v>
      </c>
      <c r="K37">
        <v>0</v>
      </c>
      <c r="L37">
        <v>0</v>
      </c>
      <c r="M37" t="s">
        <v>94</v>
      </c>
      <c r="N37" t="s">
        <v>95</v>
      </c>
      <c r="Q37">
        <v>46265</v>
      </c>
    </row>
    <row r="38" spans="1:17">
      <c r="A38" t="s">
        <v>199</v>
      </c>
      <c r="B38">
        <v>46265</v>
      </c>
      <c r="C38" t="s">
        <v>56</v>
      </c>
      <c r="D38" t="s">
        <v>200</v>
      </c>
      <c r="E38" t="s">
        <v>201</v>
      </c>
      <c r="F38" t="s">
        <v>61</v>
      </c>
      <c r="G38" t="s">
        <v>90</v>
      </c>
      <c r="H38" t="s">
        <v>195</v>
      </c>
      <c r="I38">
        <v>8990</v>
      </c>
      <c r="J38">
        <v>8990</v>
      </c>
      <c r="K38">
        <v>0</v>
      </c>
      <c r="L38">
        <v>0</v>
      </c>
      <c r="M38" t="s">
        <v>94</v>
      </c>
      <c r="N38" t="s">
        <v>95</v>
      </c>
      <c r="Q38">
        <v>46265</v>
      </c>
    </row>
    <row r="39" spans="1:17">
      <c r="A39" t="s">
        <v>202</v>
      </c>
      <c r="B39">
        <v>46265</v>
      </c>
      <c r="C39" t="s">
        <v>56</v>
      </c>
      <c r="D39" t="s">
        <v>203</v>
      </c>
      <c r="E39" t="s">
        <v>204</v>
      </c>
      <c r="F39" t="s">
        <v>61</v>
      </c>
      <c r="G39" t="s">
        <v>90</v>
      </c>
      <c r="H39" t="s">
        <v>195</v>
      </c>
      <c r="I39">
        <v>8990</v>
      </c>
      <c r="J39">
        <v>8990</v>
      </c>
      <c r="K39">
        <v>0</v>
      </c>
      <c r="L39">
        <v>0</v>
      </c>
      <c r="M39" t="s">
        <v>94</v>
      </c>
      <c r="N39" t="s">
        <v>95</v>
      </c>
      <c r="Q39">
        <v>46265</v>
      </c>
    </row>
    <row r="40" spans="1:17">
      <c r="A40" t="s">
        <v>205</v>
      </c>
      <c r="B40">
        <v>46265</v>
      </c>
      <c r="C40" t="s">
        <v>56</v>
      </c>
      <c r="D40" t="s">
        <v>206</v>
      </c>
      <c r="E40" t="s">
        <v>207</v>
      </c>
      <c r="F40" t="s">
        <v>61</v>
      </c>
      <c r="G40" t="s">
        <v>90</v>
      </c>
      <c r="H40" t="s">
        <v>195</v>
      </c>
      <c r="I40">
        <v>8990</v>
      </c>
      <c r="J40">
        <v>8990</v>
      </c>
      <c r="K40">
        <v>0</v>
      </c>
      <c r="L40">
        <v>0</v>
      </c>
      <c r="M40" t="s">
        <v>94</v>
      </c>
      <c r="N40" t="s">
        <v>95</v>
      </c>
      <c r="Q40">
        <v>46265</v>
      </c>
    </row>
    <row r="41" spans="1:17">
      <c r="A41" t="s">
        <v>208</v>
      </c>
      <c r="B41">
        <v>46265</v>
      </c>
      <c r="C41" t="s">
        <v>56</v>
      </c>
      <c r="D41" t="s">
        <v>209</v>
      </c>
      <c r="E41" t="s">
        <v>210</v>
      </c>
      <c r="F41" t="s">
        <v>61</v>
      </c>
      <c r="G41" t="s">
        <v>90</v>
      </c>
      <c r="H41" t="s">
        <v>195</v>
      </c>
      <c r="I41">
        <v>8990</v>
      </c>
      <c r="J41">
        <v>8990</v>
      </c>
      <c r="K41">
        <v>0</v>
      </c>
      <c r="L41">
        <v>0</v>
      </c>
      <c r="M41" t="s">
        <v>94</v>
      </c>
      <c r="N41" t="s">
        <v>95</v>
      </c>
      <c r="Q41">
        <v>46265</v>
      </c>
    </row>
    <row r="42" spans="1:17">
      <c r="A42" t="s">
        <v>211</v>
      </c>
      <c r="B42">
        <v>46265</v>
      </c>
      <c r="C42" t="s">
        <v>56</v>
      </c>
      <c r="D42" t="s">
        <v>212</v>
      </c>
      <c r="E42" t="s">
        <v>213</v>
      </c>
      <c r="F42" t="s">
        <v>61</v>
      </c>
      <c r="G42" t="s">
        <v>90</v>
      </c>
      <c r="H42" t="s">
        <v>195</v>
      </c>
      <c r="I42">
        <v>9990</v>
      </c>
      <c r="J42">
        <v>9990</v>
      </c>
      <c r="K42">
        <v>0</v>
      </c>
      <c r="L42">
        <v>0</v>
      </c>
      <c r="M42" t="s">
        <v>94</v>
      </c>
      <c r="N42" t="s">
        <v>95</v>
      </c>
      <c r="Q42">
        <v>46265</v>
      </c>
    </row>
    <row r="43" spans="1:17">
      <c r="A43" t="s">
        <v>214</v>
      </c>
      <c r="B43">
        <v>46265</v>
      </c>
      <c r="C43" t="s">
        <v>56</v>
      </c>
      <c r="D43" t="s">
        <v>215</v>
      </c>
      <c r="E43" t="s">
        <v>216</v>
      </c>
      <c r="F43" t="s">
        <v>61</v>
      </c>
      <c r="G43" t="s">
        <v>90</v>
      </c>
      <c r="H43" t="s">
        <v>195</v>
      </c>
      <c r="I43">
        <v>9990</v>
      </c>
      <c r="J43">
        <v>9990</v>
      </c>
      <c r="K43">
        <v>0</v>
      </c>
      <c r="L43">
        <v>0</v>
      </c>
      <c r="M43" t="s">
        <v>94</v>
      </c>
      <c r="N43" t="s">
        <v>95</v>
      </c>
      <c r="Q43">
        <v>46265</v>
      </c>
    </row>
    <row r="44" spans="1:17">
      <c r="A44" t="s">
        <v>217</v>
      </c>
      <c r="B44">
        <v>46265</v>
      </c>
      <c r="C44" t="s">
        <v>56</v>
      </c>
      <c r="D44" t="s">
        <v>218</v>
      </c>
      <c r="E44" t="s">
        <v>219</v>
      </c>
      <c r="F44" t="s">
        <v>61</v>
      </c>
      <c r="G44" t="s">
        <v>90</v>
      </c>
      <c r="H44" t="s">
        <v>195</v>
      </c>
      <c r="I44">
        <v>9990</v>
      </c>
      <c r="J44">
        <v>9990</v>
      </c>
      <c r="K44">
        <v>0</v>
      </c>
      <c r="L44">
        <v>0</v>
      </c>
      <c r="M44" t="s">
        <v>94</v>
      </c>
      <c r="N44" t="s">
        <v>95</v>
      </c>
      <c r="Q44">
        <v>46265</v>
      </c>
    </row>
    <row r="45" spans="1:17">
      <c r="A45" t="s">
        <v>220</v>
      </c>
      <c r="B45">
        <v>46265</v>
      </c>
      <c r="C45" t="s">
        <v>56</v>
      </c>
      <c r="D45" t="s">
        <v>221</v>
      </c>
      <c r="E45" t="s">
        <v>222</v>
      </c>
      <c r="F45" t="s">
        <v>61</v>
      </c>
      <c r="G45" t="s">
        <v>90</v>
      </c>
      <c r="H45" t="s">
        <v>195</v>
      </c>
      <c r="I45">
        <v>9990</v>
      </c>
      <c r="J45">
        <v>9990</v>
      </c>
      <c r="K45">
        <v>0</v>
      </c>
      <c r="L45">
        <v>0</v>
      </c>
      <c r="M45" t="s">
        <v>94</v>
      </c>
      <c r="N45" t="s">
        <v>95</v>
      </c>
      <c r="Q45">
        <v>46265</v>
      </c>
    </row>
    <row r="46" spans="1:17">
      <c r="A46" t="s">
        <v>223</v>
      </c>
      <c r="B46">
        <v>46265</v>
      </c>
      <c r="C46" t="s">
        <v>56</v>
      </c>
      <c r="D46" t="s">
        <v>224</v>
      </c>
      <c r="E46" t="s">
        <v>225</v>
      </c>
      <c r="F46" t="s">
        <v>61</v>
      </c>
      <c r="G46" t="s">
        <v>90</v>
      </c>
      <c r="H46" t="s">
        <v>195</v>
      </c>
      <c r="I46">
        <v>6990</v>
      </c>
      <c r="J46">
        <v>6990</v>
      </c>
      <c r="K46">
        <v>0</v>
      </c>
      <c r="L46">
        <v>0</v>
      </c>
      <c r="M46" t="s">
        <v>94</v>
      </c>
      <c r="N46" t="s">
        <v>95</v>
      </c>
      <c r="Q46">
        <v>46265</v>
      </c>
    </row>
    <row r="47" spans="1:17">
      <c r="A47" t="s">
        <v>226</v>
      </c>
      <c r="B47">
        <v>46265</v>
      </c>
      <c r="C47" t="s">
        <v>56</v>
      </c>
      <c r="D47" t="s">
        <v>227</v>
      </c>
      <c r="E47" t="s">
        <v>228</v>
      </c>
      <c r="F47" t="s">
        <v>61</v>
      </c>
      <c r="G47" t="s">
        <v>139</v>
      </c>
      <c r="H47" t="s">
        <v>195</v>
      </c>
      <c r="I47">
        <v>10990</v>
      </c>
      <c r="J47">
        <v>10990</v>
      </c>
      <c r="K47">
        <v>0</v>
      </c>
      <c r="L47">
        <v>0</v>
      </c>
      <c r="M47" t="s">
        <v>94</v>
      </c>
      <c r="N47" t="s">
        <v>95</v>
      </c>
      <c r="Q47">
        <v>46265</v>
      </c>
    </row>
    <row r="48" spans="1:17">
      <c r="A48" t="s">
        <v>229</v>
      </c>
      <c r="B48">
        <v>46265</v>
      </c>
      <c r="C48" t="s">
        <v>56</v>
      </c>
      <c r="D48" t="s">
        <v>230</v>
      </c>
      <c r="E48" t="s">
        <v>231</v>
      </c>
      <c r="F48" t="s">
        <v>61</v>
      </c>
      <c r="G48" t="s">
        <v>139</v>
      </c>
      <c r="H48" t="s">
        <v>195</v>
      </c>
      <c r="I48">
        <v>10990</v>
      </c>
      <c r="J48">
        <v>10990</v>
      </c>
      <c r="K48">
        <v>0</v>
      </c>
      <c r="L48">
        <v>0</v>
      </c>
      <c r="M48" t="s">
        <v>94</v>
      </c>
      <c r="N48" t="s">
        <v>95</v>
      </c>
      <c r="Q48">
        <v>46265</v>
      </c>
    </row>
    <row r="49" spans="1:17">
      <c r="A49" t="s">
        <v>232</v>
      </c>
      <c r="B49">
        <v>46265</v>
      </c>
      <c r="C49" t="s">
        <v>56</v>
      </c>
      <c r="D49" t="s">
        <v>233</v>
      </c>
      <c r="E49" t="s">
        <v>234</v>
      </c>
      <c r="F49" t="s">
        <v>61</v>
      </c>
      <c r="G49" t="s">
        <v>139</v>
      </c>
      <c r="H49" t="s">
        <v>195</v>
      </c>
      <c r="I49">
        <v>10990</v>
      </c>
      <c r="J49">
        <v>10990</v>
      </c>
      <c r="K49">
        <v>0</v>
      </c>
      <c r="L49">
        <v>0</v>
      </c>
      <c r="M49" t="s">
        <v>94</v>
      </c>
      <c r="N49" t="s">
        <v>95</v>
      </c>
      <c r="Q49">
        <v>46265</v>
      </c>
    </row>
    <row r="50" spans="1:17">
      <c r="A50" t="s">
        <v>235</v>
      </c>
      <c r="B50">
        <v>46265</v>
      </c>
      <c r="C50" t="s">
        <v>56</v>
      </c>
      <c r="D50" t="s">
        <v>236</v>
      </c>
      <c r="E50" t="s">
        <v>237</v>
      </c>
      <c r="F50" t="s">
        <v>61</v>
      </c>
      <c r="G50" t="s">
        <v>139</v>
      </c>
      <c r="H50" t="s">
        <v>195</v>
      </c>
      <c r="I50">
        <v>10990</v>
      </c>
      <c r="J50">
        <v>10990</v>
      </c>
      <c r="K50">
        <v>0</v>
      </c>
      <c r="L50">
        <v>0</v>
      </c>
      <c r="M50" t="s">
        <v>94</v>
      </c>
      <c r="N50" t="s">
        <v>95</v>
      </c>
      <c r="Q50">
        <v>46265</v>
      </c>
    </row>
    <row r="51" spans="1:17">
      <c r="A51" t="s">
        <v>238</v>
      </c>
      <c r="B51">
        <v>46265</v>
      </c>
      <c r="C51" t="s">
        <v>56</v>
      </c>
      <c r="D51" t="s">
        <v>239</v>
      </c>
      <c r="E51" t="s">
        <v>240</v>
      </c>
      <c r="F51" t="s">
        <v>61</v>
      </c>
      <c r="G51" t="s">
        <v>139</v>
      </c>
      <c r="H51" t="s">
        <v>195</v>
      </c>
      <c r="I51">
        <v>10990</v>
      </c>
      <c r="J51">
        <v>10990</v>
      </c>
      <c r="K51">
        <v>0</v>
      </c>
      <c r="L51">
        <v>0</v>
      </c>
      <c r="M51" t="s">
        <v>94</v>
      </c>
      <c r="N51" t="s">
        <v>95</v>
      </c>
      <c r="Q51">
        <v>46265</v>
      </c>
    </row>
    <row r="52" spans="1:17">
      <c r="A52" t="s">
        <v>241</v>
      </c>
      <c r="B52">
        <v>46265</v>
      </c>
      <c r="C52" t="s">
        <v>56</v>
      </c>
      <c r="D52" t="s">
        <v>242</v>
      </c>
      <c r="E52" t="s">
        <v>243</v>
      </c>
      <c r="F52" t="s">
        <v>61</v>
      </c>
      <c r="G52" t="s">
        <v>139</v>
      </c>
      <c r="H52" t="s">
        <v>195</v>
      </c>
      <c r="I52">
        <v>10990</v>
      </c>
      <c r="J52">
        <v>10990</v>
      </c>
      <c r="K52">
        <v>0</v>
      </c>
      <c r="L52">
        <v>0</v>
      </c>
      <c r="M52" t="s">
        <v>94</v>
      </c>
      <c r="N52" t="s">
        <v>95</v>
      </c>
      <c r="Q52">
        <v>46265</v>
      </c>
    </row>
    <row r="53" spans="1:17">
      <c r="A53" t="s">
        <v>244</v>
      </c>
      <c r="B53">
        <v>46265</v>
      </c>
      <c r="C53" t="s">
        <v>56</v>
      </c>
      <c r="D53" t="s">
        <v>245</v>
      </c>
      <c r="E53" t="s">
        <v>246</v>
      </c>
      <c r="F53" t="s">
        <v>61</v>
      </c>
      <c r="G53" t="s">
        <v>139</v>
      </c>
      <c r="H53" t="s">
        <v>195</v>
      </c>
      <c r="I53">
        <v>9990</v>
      </c>
      <c r="J53">
        <v>9990</v>
      </c>
      <c r="K53">
        <v>0</v>
      </c>
      <c r="L53">
        <v>0</v>
      </c>
      <c r="M53" t="s">
        <v>94</v>
      </c>
      <c r="N53" t="s">
        <v>95</v>
      </c>
      <c r="Q53">
        <v>46265</v>
      </c>
    </row>
    <row r="54" spans="1:17">
      <c r="A54" t="s">
        <v>247</v>
      </c>
      <c r="B54">
        <v>46265</v>
      </c>
      <c r="C54" t="s">
        <v>56</v>
      </c>
      <c r="D54" t="s">
        <v>248</v>
      </c>
      <c r="E54" t="s">
        <v>249</v>
      </c>
      <c r="F54" t="s">
        <v>61</v>
      </c>
      <c r="G54" t="s">
        <v>139</v>
      </c>
      <c r="H54" t="s">
        <v>195</v>
      </c>
      <c r="I54">
        <v>10990</v>
      </c>
      <c r="J54">
        <v>10990</v>
      </c>
      <c r="K54">
        <v>0</v>
      </c>
      <c r="L54">
        <v>0</v>
      </c>
      <c r="M54" t="s">
        <v>94</v>
      </c>
      <c r="N54" t="s">
        <v>95</v>
      </c>
      <c r="Q54">
        <v>46265</v>
      </c>
    </row>
    <row r="55" spans="1:17">
      <c r="A55" t="s">
        <v>250</v>
      </c>
      <c r="B55">
        <v>46265</v>
      </c>
      <c r="C55" t="s">
        <v>56</v>
      </c>
      <c r="D55" t="s">
        <v>193</v>
      </c>
      <c r="E55" t="s">
        <v>251</v>
      </c>
      <c r="F55" t="s">
        <v>61</v>
      </c>
      <c r="G55" t="s">
        <v>139</v>
      </c>
      <c r="H55" t="s">
        <v>195</v>
      </c>
      <c r="I55">
        <v>10990</v>
      </c>
      <c r="J55">
        <v>10990</v>
      </c>
      <c r="K55">
        <v>0</v>
      </c>
      <c r="L55">
        <v>0</v>
      </c>
      <c r="M55" t="s">
        <v>94</v>
      </c>
      <c r="N55" t="s">
        <v>95</v>
      </c>
      <c r="Q55">
        <v>46265</v>
      </c>
    </row>
    <row r="56" spans="1:17">
      <c r="A56" t="s">
        <v>252</v>
      </c>
      <c r="B56">
        <v>46265</v>
      </c>
      <c r="C56" t="s">
        <v>56</v>
      </c>
      <c r="D56" t="s">
        <v>253</v>
      </c>
      <c r="E56" t="s">
        <v>254</v>
      </c>
      <c r="F56" t="s">
        <v>61</v>
      </c>
      <c r="G56" t="s">
        <v>139</v>
      </c>
      <c r="H56" t="s">
        <v>195</v>
      </c>
      <c r="I56">
        <v>11490</v>
      </c>
      <c r="J56">
        <v>11490</v>
      </c>
      <c r="K56">
        <v>0</v>
      </c>
      <c r="L56">
        <v>0</v>
      </c>
      <c r="M56" t="s">
        <v>94</v>
      </c>
      <c r="N56" t="s">
        <v>95</v>
      </c>
      <c r="Q56">
        <v>46265</v>
      </c>
    </row>
    <row r="57" spans="1:17">
      <c r="A57" t="s">
        <v>255</v>
      </c>
      <c r="B57">
        <v>46265</v>
      </c>
      <c r="C57" t="s">
        <v>56</v>
      </c>
      <c r="D57" t="s">
        <v>256</v>
      </c>
      <c r="E57" t="s">
        <v>257</v>
      </c>
      <c r="F57" t="s">
        <v>61</v>
      </c>
      <c r="G57" t="s">
        <v>139</v>
      </c>
      <c r="H57" t="s">
        <v>195</v>
      </c>
      <c r="I57">
        <v>9990</v>
      </c>
      <c r="J57">
        <v>9990</v>
      </c>
      <c r="K57">
        <v>0</v>
      </c>
      <c r="L57">
        <v>0</v>
      </c>
      <c r="M57" t="s">
        <v>94</v>
      </c>
      <c r="N57" t="s">
        <v>95</v>
      </c>
      <c r="Q57">
        <v>46265</v>
      </c>
    </row>
    <row r="58" spans="1:17">
      <c r="A58" t="s">
        <v>258</v>
      </c>
      <c r="B58">
        <v>46265</v>
      </c>
      <c r="C58" t="s">
        <v>56</v>
      </c>
      <c r="D58" t="s">
        <v>259</v>
      </c>
      <c r="E58" t="s">
        <v>260</v>
      </c>
      <c r="F58" t="s">
        <v>61</v>
      </c>
      <c r="G58" t="s">
        <v>139</v>
      </c>
      <c r="H58" t="s">
        <v>195</v>
      </c>
      <c r="I58">
        <v>8990</v>
      </c>
      <c r="J58">
        <v>8990</v>
      </c>
      <c r="K58">
        <v>0</v>
      </c>
      <c r="L58">
        <v>0</v>
      </c>
      <c r="M58" t="s">
        <v>94</v>
      </c>
      <c r="N58" t="s">
        <v>95</v>
      </c>
      <c r="Q58">
        <v>46265</v>
      </c>
    </row>
    <row r="59" spans="1:17">
      <c r="A59" t="s">
        <v>261</v>
      </c>
      <c r="B59">
        <v>46265</v>
      </c>
      <c r="C59" t="s">
        <v>56</v>
      </c>
      <c r="D59" t="s">
        <v>262</v>
      </c>
      <c r="E59" t="s">
        <v>263</v>
      </c>
      <c r="F59" t="s">
        <v>61</v>
      </c>
      <c r="G59" t="s">
        <v>139</v>
      </c>
      <c r="H59" t="s">
        <v>195</v>
      </c>
      <c r="I59">
        <v>9990</v>
      </c>
      <c r="J59">
        <v>9990</v>
      </c>
      <c r="K59">
        <v>0</v>
      </c>
      <c r="L59">
        <v>0</v>
      </c>
      <c r="M59" t="s">
        <v>94</v>
      </c>
      <c r="N59" t="s">
        <v>95</v>
      </c>
      <c r="Q59">
        <v>46265</v>
      </c>
    </row>
    <row r="60" spans="1:17">
      <c r="A60" t="s">
        <v>264</v>
      </c>
      <c r="B60">
        <v>46265</v>
      </c>
      <c r="C60" t="s">
        <v>56</v>
      </c>
      <c r="D60" t="s">
        <v>265</v>
      </c>
      <c r="E60" t="s">
        <v>266</v>
      </c>
      <c r="F60" t="s">
        <v>61</v>
      </c>
      <c r="G60" t="s">
        <v>139</v>
      </c>
      <c r="H60" t="s">
        <v>195</v>
      </c>
      <c r="I60">
        <v>11490</v>
      </c>
      <c r="J60">
        <v>11490</v>
      </c>
      <c r="K60">
        <v>0</v>
      </c>
      <c r="L60">
        <v>0</v>
      </c>
      <c r="M60" t="s">
        <v>94</v>
      </c>
      <c r="N60" t="s">
        <v>95</v>
      </c>
      <c r="Q60">
        <v>46265</v>
      </c>
    </row>
    <row r="61" spans="1:17">
      <c r="A61" t="s">
        <v>267</v>
      </c>
      <c r="B61">
        <v>46265</v>
      </c>
      <c r="C61" t="s">
        <v>56</v>
      </c>
      <c r="D61" t="s">
        <v>268</v>
      </c>
      <c r="E61" t="s">
        <v>269</v>
      </c>
      <c r="F61" t="s">
        <v>61</v>
      </c>
      <c r="G61" t="s">
        <v>90</v>
      </c>
      <c r="H61" t="s">
        <v>195</v>
      </c>
      <c r="I61">
        <v>9990</v>
      </c>
      <c r="J61">
        <v>9990</v>
      </c>
      <c r="K61">
        <v>0</v>
      </c>
      <c r="L61">
        <v>0</v>
      </c>
      <c r="M61" t="s">
        <v>94</v>
      </c>
      <c r="N61" t="s">
        <v>95</v>
      </c>
      <c r="Q61">
        <v>46265</v>
      </c>
    </row>
    <row r="62" spans="1:17">
      <c r="A62" t="s">
        <v>270</v>
      </c>
      <c r="B62">
        <v>46265</v>
      </c>
      <c r="C62" t="s">
        <v>56</v>
      </c>
      <c r="D62" t="s">
        <v>271</v>
      </c>
      <c r="E62" t="s">
        <v>272</v>
      </c>
      <c r="F62" t="s">
        <v>61</v>
      </c>
      <c r="G62" t="s">
        <v>139</v>
      </c>
      <c r="H62" t="s">
        <v>195</v>
      </c>
      <c r="I62">
        <v>11490</v>
      </c>
      <c r="J62">
        <v>11490</v>
      </c>
      <c r="K62">
        <v>0</v>
      </c>
      <c r="L62">
        <v>0</v>
      </c>
      <c r="M62" t="s">
        <v>94</v>
      </c>
      <c r="N62" t="s">
        <v>95</v>
      </c>
      <c r="Q62">
        <v>46265</v>
      </c>
    </row>
    <row r="63" spans="1:17">
      <c r="A63" t="s">
        <v>273</v>
      </c>
      <c r="B63">
        <v>46265</v>
      </c>
      <c r="C63" t="s">
        <v>56</v>
      </c>
      <c r="D63" t="s">
        <v>274</v>
      </c>
      <c r="E63" t="s">
        <v>275</v>
      </c>
      <c r="F63" t="s">
        <v>61</v>
      </c>
      <c r="G63" t="s">
        <v>90</v>
      </c>
      <c r="H63" t="s">
        <v>195</v>
      </c>
      <c r="I63">
        <v>9990</v>
      </c>
      <c r="J63">
        <v>9990</v>
      </c>
      <c r="K63">
        <v>0</v>
      </c>
      <c r="L63">
        <v>0</v>
      </c>
      <c r="M63" t="s">
        <v>94</v>
      </c>
      <c r="N63" t="s">
        <v>95</v>
      </c>
      <c r="Q63">
        <v>46265</v>
      </c>
    </row>
    <row r="64" spans="1:17">
      <c r="A64" t="s">
        <v>276</v>
      </c>
      <c r="B64">
        <v>46265</v>
      </c>
      <c r="C64" t="s">
        <v>56</v>
      </c>
      <c r="D64" t="s">
        <v>268</v>
      </c>
      <c r="E64" t="s">
        <v>277</v>
      </c>
      <c r="F64" t="s">
        <v>61</v>
      </c>
      <c r="G64" t="s">
        <v>90</v>
      </c>
      <c r="H64" t="s">
        <v>195</v>
      </c>
      <c r="I64">
        <v>9990</v>
      </c>
      <c r="J64">
        <v>9990</v>
      </c>
      <c r="K64">
        <v>0</v>
      </c>
      <c r="L64">
        <v>0</v>
      </c>
      <c r="M64" t="s">
        <v>94</v>
      </c>
      <c r="N64" t="s">
        <v>95</v>
      </c>
      <c r="Q64">
        <v>46265</v>
      </c>
    </row>
    <row r="65" spans="1:17">
      <c r="A65" t="s">
        <v>278</v>
      </c>
      <c r="B65">
        <v>46265</v>
      </c>
      <c r="C65" t="s">
        <v>56</v>
      </c>
      <c r="D65" t="s">
        <v>279</v>
      </c>
      <c r="E65" t="s">
        <v>280</v>
      </c>
      <c r="F65" t="s">
        <v>61</v>
      </c>
      <c r="G65" t="s">
        <v>126</v>
      </c>
      <c r="H65" t="s">
        <v>195</v>
      </c>
      <c r="I65">
        <v>6490</v>
      </c>
      <c r="J65">
        <v>6490</v>
      </c>
      <c r="K65">
        <v>0</v>
      </c>
      <c r="L65">
        <v>0</v>
      </c>
      <c r="M65" t="s">
        <v>94</v>
      </c>
      <c r="N65" t="s">
        <v>95</v>
      </c>
      <c r="Q65">
        <v>46265</v>
      </c>
    </row>
    <row r="66" spans="1:17">
      <c r="A66" t="s">
        <v>281</v>
      </c>
      <c r="B66">
        <v>46265</v>
      </c>
      <c r="C66" t="s">
        <v>56</v>
      </c>
      <c r="D66" t="s">
        <v>282</v>
      </c>
      <c r="E66" t="s">
        <v>283</v>
      </c>
      <c r="F66" t="s">
        <v>61</v>
      </c>
      <c r="G66" t="s">
        <v>90</v>
      </c>
      <c r="H66" t="s">
        <v>195</v>
      </c>
      <c r="I66">
        <v>6990</v>
      </c>
      <c r="J66">
        <v>6990</v>
      </c>
      <c r="K66">
        <v>0</v>
      </c>
      <c r="L66">
        <v>0</v>
      </c>
      <c r="M66" t="s">
        <v>94</v>
      </c>
      <c r="N66" t="s">
        <v>95</v>
      </c>
      <c r="Q66">
        <v>46265</v>
      </c>
    </row>
    <row r="67" spans="1:17">
      <c r="A67" t="s">
        <v>284</v>
      </c>
      <c r="B67">
        <v>46265</v>
      </c>
      <c r="C67" t="s">
        <v>56</v>
      </c>
      <c r="D67" t="s">
        <v>285</v>
      </c>
      <c r="E67" t="s">
        <v>286</v>
      </c>
      <c r="F67" t="s">
        <v>61</v>
      </c>
      <c r="G67" t="s">
        <v>90</v>
      </c>
      <c r="H67" t="s">
        <v>195</v>
      </c>
      <c r="I67">
        <v>6990</v>
      </c>
      <c r="J67">
        <v>6990</v>
      </c>
      <c r="K67">
        <v>0</v>
      </c>
      <c r="L67">
        <v>0</v>
      </c>
      <c r="M67" t="s">
        <v>94</v>
      </c>
      <c r="N67" t="s">
        <v>95</v>
      </c>
      <c r="Q67">
        <v>46265</v>
      </c>
    </row>
    <row r="68" spans="1:17">
      <c r="A68" t="s">
        <v>287</v>
      </c>
      <c r="B68">
        <v>46265</v>
      </c>
      <c r="C68" t="s">
        <v>56</v>
      </c>
      <c r="D68" t="s">
        <v>288</v>
      </c>
      <c r="E68" t="s">
        <v>289</v>
      </c>
      <c r="F68" t="s">
        <v>61</v>
      </c>
      <c r="G68" t="s">
        <v>139</v>
      </c>
      <c r="H68" t="s">
        <v>195</v>
      </c>
      <c r="I68">
        <v>29990</v>
      </c>
      <c r="J68">
        <v>29990</v>
      </c>
      <c r="K68">
        <v>0</v>
      </c>
      <c r="L68">
        <v>0</v>
      </c>
      <c r="M68" t="s">
        <v>94</v>
      </c>
      <c r="N68" t="s">
        <v>95</v>
      </c>
      <c r="Q68">
        <v>46265</v>
      </c>
    </row>
    <row r="69" spans="1:17">
      <c r="A69" t="s">
        <v>290</v>
      </c>
      <c r="B69">
        <v>46265</v>
      </c>
      <c r="C69" t="s">
        <v>56</v>
      </c>
      <c r="D69" t="s">
        <v>291</v>
      </c>
      <c r="E69" t="s">
        <v>292</v>
      </c>
      <c r="F69" t="s">
        <v>61</v>
      </c>
      <c r="G69" t="s">
        <v>139</v>
      </c>
      <c r="H69" t="s">
        <v>195</v>
      </c>
      <c r="I69">
        <v>18990</v>
      </c>
      <c r="J69">
        <v>18990</v>
      </c>
      <c r="K69">
        <v>0</v>
      </c>
      <c r="L69">
        <v>0</v>
      </c>
      <c r="M69" t="s">
        <v>94</v>
      </c>
      <c r="N69" t="s">
        <v>95</v>
      </c>
      <c r="Q69">
        <v>46265</v>
      </c>
    </row>
    <row r="70" spans="1:17">
      <c r="A70" t="s">
        <v>293</v>
      </c>
      <c r="B70">
        <v>46265</v>
      </c>
      <c r="C70" t="s">
        <v>56</v>
      </c>
      <c r="D70" t="s">
        <v>294</v>
      </c>
      <c r="E70" t="s">
        <v>295</v>
      </c>
      <c r="F70" t="s">
        <v>59</v>
      </c>
      <c r="G70" t="s">
        <v>139</v>
      </c>
      <c r="H70" t="s">
        <v>296</v>
      </c>
      <c r="I70">
        <v>27990</v>
      </c>
      <c r="J70">
        <v>27990</v>
      </c>
      <c r="K70">
        <v>0</v>
      </c>
      <c r="L70">
        <v>0</v>
      </c>
      <c r="M70" t="s">
        <v>94</v>
      </c>
      <c r="N70" t="s">
        <v>95</v>
      </c>
      <c r="Q70">
        <v>46265</v>
      </c>
    </row>
    <row r="71" spans="1:17">
      <c r="A71" t="s">
        <v>297</v>
      </c>
      <c r="B71">
        <v>46265</v>
      </c>
      <c r="C71" t="s">
        <v>56</v>
      </c>
      <c r="D71" t="s">
        <v>298</v>
      </c>
      <c r="E71" t="s">
        <v>299</v>
      </c>
      <c r="F71" t="s">
        <v>59</v>
      </c>
      <c r="G71" t="s">
        <v>90</v>
      </c>
      <c r="H71" t="s">
        <v>296</v>
      </c>
      <c r="I71">
        <v>12990</v>
      </c>
      <c r="J71">
        <v>12990</v>
      </c>
      <c r="K71">
        <v>0</v>
      </c>
      <c r="L71">
        <v>0</v>
      </c>
      <c r="M71" t="s">
        <v>94</v>
      </c>
      <c r="N71" t="s">
        <v>95</v>
      </c>
      <c r="Q71">
        <v>46265</v>
      </c>
    </row>
    <row r="72" spans="1:17">
      <c r="A72" t="s">
        <v>300</v>
      </c>
      <c r="B72">
        <v>46265</v>
      </c>
      <c r="C72" t="s">
        <v>56</v>
      </c>
      <c r="D72" t="s">
        <v>301</v>
      </c>
      <c r="E72" t="s">
        <v>302</v>
      </c>
      <c r="F72" t="s">
        <v>59</v>
      </c>
      <c r="G72" t="s">
        <v>90</v>
      </c>
      <c r="H72" t="s">
        <v>296</v>
      </c>
      <c r="I72">
        <v>12990</v>
      </c>
      <c r="J72">
        <v>12990</v>
      </c>
      <c r="K72">
        <v>0</v>
      </c>
      <c r="L72">
        <v>0</v>
      </c>
      <c r="M72" t="s">
        <v>94</v>
      </c>
      <c r="N72" t="s">
        <v>95</v>
      </c>
      <c r="Q72">
        <v>46265</v>
      </c>
    </row>
    <row r="73" spans="1:17">
      <c r="A73" t="s">
        <v>303</v>
      </c>
      <c r="B73">
        <v>46265</v>
      </c>
      <c r="C73" t="s">
        <v>56</v>
      </c>
      <c r="D73" t="s">
        <v>304</v>
      </c>
      <c r="E73" t="s">
        <v>305</v>
      </c>
      <c r="F73" t="s">
        <v>59</v>
      </c>
      <c r="G73" t="s">
        <v>139</v>
      </c>
      <c r="H73" t="s">
        <v>296</v>
      </c>
      <c r="I73">
        <v>19990</v>
      </c>
      <c r="J73">
        <v>19990</v>
      </c>
      <c r="K73">
        <v>0</v>
      </c>
      <c r="L73">
        <v>0</v>
      </c>
      <c r="M73" t="s">
        <v>94</v>
      </c>
      <c r="N73" t="s">
        <v>95</v>
      </c>
      <c r="Q73">
        <v>46265</v>
      </c>
    </row>
    <row r="74" spans="1:17">
      <c r="A74" t="s">
        <v>306</v>
      </c>
      <c r="B74">
        <v>46265</v>
      </c>
      <c r="C74" t="s">
        <v>56</v>
      </c>
      <c r="D74" t="s">
        <v>307</v>
      </c>
      <c r="E74" t="s">
        <v>308</v>
      </c>
      <c r="F74" t="s">
        <v>59</v>
      </c>
      <c r="G74" t="s">
        <v>90</v>
      </c>
      <c r="H74" t="s">
        <v>296</v>
      </c>
      <c r="I74">
        <v>12990</v>
      </c>
      <c r="J74">
        <v>12990</v>
      </c>
      <c r="K74">
        <v>0</v>
      </c>
      <c r="L74">
        <v>0</v>
      </c>
      <c r="M74" t="s">
        <v>94</v>
      </c>
      <c r="N74" t="s">
        <v>95</v>
      </c>
      <c r="Q74">
        <v>46265</v>
      </c>
    </row>
    <row r="75" spans="1:17">
      <c r="A75" t="s">
        <v>309</v>
      </c>
      <c r="B75">
        <v>46265</v>
      </c>
      <c r="C75" t="s">
        <v>56</v>
      </c>
      <c r="D75" t="s">
        <v>310</v>
      </c>
      <c r="E75" t="s">
        <v>311</v>
      </c>
      <c r="F75" t="s">
        <v>59</v>
      </c>
      <c r="G75" t="s">
        <v>139</v>
      </c>
      <c r="H75" t="s">
        <v>296</v>
      </c>
      <c r="I75">
        <v>16990</v>
      </c>
      <c r="J75">
        <v>16990</v>
      </c>
      <c r="K75">
        <v>0</v>
      </c>
      <c r="L75">
        <v>0</v>
      </c>
      <c r="M75" t="s">
        <v>94</v>
      </c>
      <c r="N75" t="s">
        <v>95</v>
      </c>
      <c r="Q75">
        <v>46265</v>
      </c>
    </row>
    <row r="76" spans="1:17">
      <c r="A76" t="s">
        <v>312</v>
      </c>
      <c r="B76">
        <v>46265</v>
      </c>
      <c r="C76" t="s">
        <v>56</v>
      </c>
      <c r="D76" t="s">
        <v>313</v>
      </c>
      <c r="E76" t="s">
        <v>314</v>
      </c>
      <c r="F76" t="s">
        <v>59</v>
      </c>
      <c r="G76" t="s">
        <v>90</v>
      </c>
      <c r="H76" t="s">
        <v>296</v>
      </c>
      <c r="I76">
        <v>12990</v>
      </c>
      <c r="J76">
        <v>12990</v>
      </c>
      <c r="K76">
        <v>0</v>
      </c>
      <c r="L76">
        <v>0</v>
      </c>
      <c r="M76" t="s">
        <v>94</v>
      </c>
      <c r="N76" t="s">
        <v>95</v>
      </c>
      <c r="Q76">
        <v>46265</v>
      </c>
    </row>
    <row r="77" spans="1:17">
      <c r="A77" t="s">
        <v>315</v>
      </c>
      <c r="B77">
        <v>46265</v>
      </c>
      <c r="C77" t="s">
        <v>56</v>
      </c>
      <c r="D77" t="s">
        <v>316</v>
      </c>
      <c r="E77" t="s">
        <v>317</v>
      </c>
      <c r="F77" t="s">
        <v>59</v>
      </c>
      <c r="G77" t="s">
        <v>90</v>
      </c>
      <c r="H77" t="s">
        <v>296</v>
      </c>
      <c r="I77">
        <v>12990</v>
      </c>
      <c r="J77">
        <v>12990</v>
      </c>
      <c r="K77">
        <v>0</v>
      </c>
      <c r="L77">
        <v>0</v>
      </c>
      <c r="M77" t="s">
        <v>94</v>
      </c>
      <c r="N77" t="s">
        <v>95</v>
      </c>
      <c r="Q77">
        <v>46265</v>
      </c>
    </row>
    <row r="78" spans="1:17">
      <c r="A78" t="s">
        <v>318</v>
      </c>
      <c r="B78">
        <v>46265</v>
      </c>
      <c r="C78" t="s">
        <v>56</v>
      </c>
      <c r="D78" t="s">
        <v>319</v>
      </c>
      <c r="E78" t="s">
        <v>320</v>
      </c>
      <c r="F78" t="s">
        <v>59</v>
      </c>
      <c r="G78" t="s">
        <v>139</v>
      </c>
      <c r="H78" t="s">
        <v>296</v>
      </c>
      <c r="I78">
        <v>19990</v>
      </c>
      <c r="J78">
        <v>19990</v>
      </c>
      <c r="K78">
        <v>0</v>
      </c>
      <c r="L78">
        <v>0</v>
      </c>
      <c r="M78" t="s">
        <v>94</v>
      </c>
      <c r="N78" t="s">
        <v>95</v>
      </c>
      <c r="Q78">
        <v>46265</v>
      </c>
    </row>
    <row r="79" spans="1:17">
      <c r="A79" t="s">
        <v>321</v>
      </c>
      <c r="B79">
        <v>46265</v>
      </c>
      <c r="C79" t="s">
        <v>56</v>
      </c>
      <c r="D79" t="s">
        <v>322</v>
      </c>
      <c r="E79" t="s">
        <v>323</v>
      </c>
      <c r="F79" t="s">
        <v>59</v>
      </c>
      <c r="G79" t="s">
        <v>139</v>
      </c>
      <c r="H79" t="s">
        <v>296</v>
      </c>
      <c r="I79">
        <v>14990</v>
      </c>
      <c r="J79">
        <v>14990</v>
      </c>
      <c r="K79">
        <v>0</v>
      </c>
      <c r="L79">
        <v>0</v>
      </c>
      <c r="M79" t="s">
        <v>94</v>
      </c>
      <c r="N79" t="s">
        <v>95</v>
      </c>
      <c r="Q79">
        <v>46265</v>
      </c>
    </row>
    <row r="80" spans="1:17">
      <c r="A80" t="s">
        <v>324</v>
      </c>
      <c r="B80">
        <v>46265</v>
      </c>
      <c r="C80" t="s">
        <v>56</v>
      </c>
      <c r="D80" t="s">
        <v>325</v>
      </c>
      <c r="E80" t="s">
        <v>326</v>
      </c>
      <c r="F80" t="s">
        <v>59</v>
      </c>
      <c r="G80" t="s">
        <v>90</v>
      </c>
      <c r="H80" t="s">
        <v>296</v>
      </c>
      <c r="I80">
        <v>11990</v>
      </c>
      <c r="J80">
        <v>11990</v>
      </c>
      <c r="K80">
        <v>0</v>
      </c>
      <c r="L80">
        <v>0</v>
      </c>
      <c r="M80" t="s">
        <v>94</v>
      </c>
      <c r="N80" t="s">
        <v>95</v>
      </c>
      <c r="Q80">
        <v>46265</v>
      </c>
    </row>
    <row r="81" spans="1:17">
      <c r="A81" t="s">
        <v>327</v>
      </c>
      <c r="B81">
        <v>46265</v>
      </c>
      <c r="C81" t="s">
        <v>56</v>
      </c>
      <c r="D81" t="s">
        <v>328</v>
      </c>
      <c r="E81" t="s">
        <v>329</v>
      </c>
      <c r="F81" t="s">
        <v>59</v>
      </c>
      <c r="G81" t="s">
        <v>90</v>
      </c>
      <c r="H81" t="s">
        <v>296</v>
      </c>
      <c r="I81">
        <v>11990</v>
      </c>
      <c r="J81">
        <v>11990</v>
      </c>
      <c r="K81">
        <v>0</v>
      </c>
      <c r="L81">
        <v>0</v>
      </c>
      <c r="M81" t="s">
        <v>94</v>
      </c>
      <c r="N81" t="s">
        <v>95</v>
      </c>
      <c r="Q81">
        <v>46265</v>
      </c>
    </row>
    <row r="82" spans="1:17">
      <c r="A82" t="s">
        <v>330</v>
      </c>
      <c r="B82">
        <v>46265</v>
      </c>
      <c r="C82" t="s">
        <v>56</v>
      </c>
      <c r="D82" t="s">
        <v>331</v>
      </c>
      <c r="E82" t="s">
        <v>332</v>
      </c>
      <c r="F82" t="s">
        <v>59</v>
      </c>
      <c r="G82" t="s">
        <v>90</v>
      </c>
      <c r="H82" t="s">
        <v>296</v>
      </c>
      <c r="I82">
        <v>11990</v>
      </c>
      <c r="J82">
        <v>11990</v>
      </c>
      <c r="K82">
        <v>0</v>
      </c>
      <c r="L82">
        <v>0</v>
      </c>
      <c r="M82" t="s">
        <v>94</v>
      </c>
      <c r="N82" t="s">
        <v>95</v>
      </c>
      <c r="Q82">
        <v>46265</v>
      </c>
    </row>
    <row r="83" spans="1:17">
      <c r="A83" t="s">
        <v>333</v>
      </c>
      <c r="B83">
        <v>46265</v>
      </c>
      <c r="C83" t="s">
        <v>56</v>
      </c>
      <c r="D83" t="s">
        <v>334</v>
      </c>
      <c r="E83" t="s">
        <v>335</v>
      </c>
      <c r="F83" t="s">
        <v>59</v>
      </c>
      <c r="G83" t="s">
        <v>139</v>
      </c>
      <c r="H83" t="s">
        <v>296</v>
      </c>
      <c r="I83">
        <v>16990</v>
      </c>
      <c r="J83">
        <v>10194</v>
      </c>
      <c r="K83">
        <v>6796</v>
      </c>
      <c r="L83">
        <v>40</v>
      </c>
      <c r="M83" t="s">
        <v>94</v>
      </c>
      <c r="N83" t="s">
        <v>95</v>
      </c>
      <c r="Q83">
        <v>46265</v>
      </c>
    </row>
    <row r="84" spans="1:17">
      <c r="A84" t="s">
        <v>338</v>
      </c>
      <c r="B84">
        <v>46265</v>
      </c>
      <c r="C84" t="s">
        <v>56</v>
      </c>
      <c r="D84" t="s">
        <v>339</v>
      </c>
      <c r="E84" t="s">
        <v>340</v>
      </c>
      <c r="F84" t="s">
        <v>59</v>
      </c>
      <c r="G84" t="s">
        <v>139</v>
      </c>
      <c r="H84" t="s">
        <v>296</v>
      </c>
      <c r="I84">
        <v>18990</v>
      </c>
      <c r="J84">
        <v>18990</v>
      </c>
      <c r="K84">
        <v>0</v>
      </c>
      <c r="L84">
        <v>0</v>
      </c>
      <c r="M84" t="s">
        <v>94</v>
      </c>
      <c r="N84" t="s">
        <v>95</v>
      </c>
      <c r="Q84">
        <v>46265</v>
      </c>
    </row>
    <row r="85" spans="1:17">
      <c r="A85" t="s">
        <v>341</v>
      </c>
      <c r="B85">
        <v>46265</v>
      </c>
      <c r="C85" t="s">
        <v>56</v>
      </c>
      <c r="D85" t="s">
        <v>342</v>
      </c>
      <c r="E85" t="s">
        <v>343</v>
      </c>
      <c r="F85" t="s">
        <v>59</v>
      </c>
      <c r="G85" t="s">
        <v>139</v>
      </c>
      <c r="H85" t="s">
        <v>296</v>
      </c>
      <c r="I85">
        <v>29990</v>
      </c>
      <c r="J85">
        <v>17994</v>
      </c>
      <c r="K85">
        <v>11996</v>
      </c>
      <c r="L85">
        <v>40</v>
      </c>
      <c r="M85" t="s">
        <v>94</v>
      </c>
      <c r="N85" t="s">
        <v>95</v>
      </c>
      <c r="Q85">
        <v>46265</v>
      </c>
    </row>
    <row r="86" spans="1:17">
      <c r="A86" t="s">
        <v>344</v>
      </c>
      <c r="B86">
        <v>46265</v>
      </c>
      <c r="C86" t="s">
        <v>56</v>
      </c>
      <c r="D86" t="s">
        <v>345</v>
      </c>
      <c r="E86" t="s">
        <v>346</v>
      </c>
      <c r="F86" t="s">
        <v>59</v>
      </c>
      <c r="G86" t="s">
        <v>139</v>
      </c>
      <c r="H86" t="s">
        <v>296</v>
      </c>
      <c r="I86">
        <v>9990</v>
      </c>
      <c r="J86">
        <v>6993</v>
      </c>
      <c r="K86">
        <v>2997</v>
      </c>
      <c r="L86">
        <v>30</v>
      </c>
      <c r="M86" t="s">
        <v>94</v>
      </c>
      <c r="N86" t="s">
        <v>95</v>
      </c>
      <c r="Q86">
        <v>46265</v>
      </c>
    </row>
    <row r="87" spans="1:17">
      <c r="A87" t="s">
        <v>348</v>
      </c>
      <c r="B87">
        <v>46265</v>
      </c>
      <c r="C87" t="s">
        <v>56</v>
      </c>
      <c r="D87" t="s">
        <v>349</v>
      </c>
      <c r="E87" t="s">
        <v>350</v>
      </c>
      <c r="F87" t="s">
        <v>59</v>
      </c>
      <c r="G87" t="s">
        <v>126</v>
      </c>
      <c r="H87" t="s">
        <v>296</v>
      </c>
      <c r="I87">
        <v>10790</v>
      </c>
      <c r="J87">
        <v>4316</v>
      </c>
      <c r="K87">
        <v>6474</v>
      </c>
      <c r="L87">
        <v>60</v>
      </c>
      <c r="M87" t="s">
        <v>94</v>
      </c>
      <c r="N87" t="s">
        <v>95</v>
      </c>
      <c r="Q87">
        <v>46265</v>
      </c>
    </row>
    <row r="88" spans="1:17">
      <c r="A88" t="s">
        <v>352</v>
      </c>
      <c r="B88">
        <v>46265</v>
      </c>
      <c r="C88" t="s">
        <v>56</v>
      </c>
      <c r="D88" t="s">
        <v>353</v>
      </c>
      <c r="E88" t="s">
        <v>354</v>
      </c>
      <c r="F88" t="s">
        <v>59</v>
      </c>
      <c r="G88" t="s">
        <v>90</v>
      </c>
      <c r="H88" t="s">
        <v>296</v>
      </c>
      <c r="I88">
        <v>12990</v>
      </c>
      <c r="J88">
        <v>12990</v>
      </c>
      <c r="K88">
        <v>0</v>
      </c>
      <c r="L88">
        <v>0</v>
      </c>
      <c r="M88" t="s">
        <v>94</v>
      </c>
      <c r="N88" t="s">
        <v>95</v>
      </c>
      <c r="Q88">
        <v>46265</v>
      </c>
    </row>
    <row r="89" spans="1:17">
      <c r="A89" t="s">
        <v>355</v>
      </c>
      <c r="B89">
        <v>46265</v>
      </c>
      <c r="C89" t="s">
        <v>56</v>
      </c>
      <c r="D89" t="s">
        <v>356</v>
      </c>
      <c r="E89" t="s">
        <v>357</v>
      </c>
      <c r="F89" t="s">
        <v>59</v>
      </c>
      <c r="G89" t="s">
        <v>139</v>
      </c>
      <c r="H89" t="s">
        <v>296</v>
      </c>
      <c r="I89">
        <v>17990</v>
      </c>
      <c r="J89">
        <v>17990</v>
      </c>
      <c r="K89">
        <v>0</v>
      </c>
      <c r="L89">
        <v>0</v>
      </c>
      <c r="M89" t="s">
        <v>94</v>
      </c>
      <c r="N89" t="s">
        <v>95</v>
      </c>
      <c r="Q89">
        <v>46265</v>
      </c>
    </row>
    <row r="90" spans="1:17">
      <c r="A90" t="s">
        <v>358</v>
      </c>
      <c r="B90">
        <v>46265</v>
      </c>
      <c r="C90" t="s">
        <v>56</v>
      </c>
      <c r="D90" t="s">
        <v>319</v>
      </c>
      <c r="E90" t="s">
        <v>359</v>
      </c>
      <c r="F90" t="s">
        <v>59</v>
      </c>
      <c r="G90" t="s">
        <v>139</v>
      </c>
      <c r="H90" t="s">
        <v>296</v>
      </c>
      <c r="I90">
        <v>17990</v>
      </c>
      <c r="J90">
        <v>17990</v>
      </c>
      <c r="K90">
        <v>0</v>
      </c>
      <c r="L90">
        <v>0</v>
      </c>
      <c r="M90" t="s">
        <v>94</v>
      </c>
      <c r="N90" t="s">
        <v>95</v>
      </c>
      <c r="Q90">
        <v>46265</v>
      </c>
    </row>
    <row r="91" spans="1:17">
      <c r="A91" t="s">
        <v>360</v>
      </c>
      <c r="B91">
        <v>46265</v>
      </c>
      <c r="C91" t="s">
        <v>56</v>
      </c>
      <c r="D91" t="s">
        <v>361</v>
      </c>
      <c r="E91" t="s">
        <v>362</v>
      </c>
      <c r="F91" t="s">
        <v>59</v>
      </c>
      <c r="G91" t="s">
        <v>139</v>
      </c>
      <c r="H91" t="s">
        <v>296</v>
      </c>
      <c r="I91">
        <v>29990</v>
      </c>
      <c r="J91">
        <v>29990</v>
      </c>
      <c r="K91">
        <v>0</v>
      </c>
      <c r="L91">
        <v>0</v>
      </c>
      <c r="M91" t="s">
        <v>94</v>
      </c>
      <c r="N91" t="s">
        <v>95</v>
      </c>
      <c r="Q91">
        <v>46265</v>
      </c>
    </row>
    <row r="92" spans="1:17">
      <c r="A92" t="s">
        <v>363</v>
      </c>
      <c r="B92">
        <v>46265</v>
      </c>
      <c r="C92" t="s">
        <v>56</v>
      </c>
      <c r="D92" t="s">
        <v>364</v>
      </c>
      <c r="E92" t="s">
        <v>365</v>
      </c>
      <c r="F92" t="s">
        <v>59</v>
      </c>
      <c r="G92" t="s">
        <v>139</v>
      </c>
      <c r="H92" t="s">
        <v>296</v>
      </c>
      <c r="I92">
        <v>14990</v>
      </c>
      <c r="J92">
        <v>14990</v>
      </c>
      <c r="K92">
        <v>0</v>
      </c>
      <c r="L92">
        <v>0</v>
      </c>
      <c r="M92" t="s">
        <v>94</v>
      </c>
      <c r="N92" t="s">
        <v>95</v>
      </c>
      <c r="Q92">
        <v>46265</v>
      </c>
    </row>
    <row r="93" spans="1:17">
      <c r="A93" t="s">
        <v>366</v>
      </c>
      <c r="B93">
        <v>46265</v>
      </c>
      <c r="C93" t="s">
        <v>56</v>
      </c>
      <c r="D93" t="s">
        <v>356</v>
      </c>
      <c r="E93" t="s">
        <v>367</v>
      </c>
      <c r="F93" t="s">
        <v>59</v>
      </c>
      <c r="G93" t="s">
        <v>139</v>
      </c>
      <c r="H93" t="s">
        <v>296</v>
      </c>
      <c r="I93">
        <v>17990</v>
      </c>
      <c r="J93">
        <v>17990</v>
      </c>
      <c r="K93">
        <v>0</v>
      </c>
      <c r="L93">
        <v>0</v>
      </c>
      <c r="M93" t="s">
        <v>94</v>
      </c>
      <c r="N93" t="s">
        <v>95</v>
      </c>
      <c r="Q93">
        <v>46265</v>
      </c>
    </row>
    <row r="94" spans="1:17">
      <c r="A94" t="s">
        <v>368</v>
      </c>
      <c r="B94">
        <v>46265</v>
      </c>
      <c r="C94" t="s">
        <v>56</v>
      </c>
      <c r="D94" t="s">
        <v>369</v>
      </c>
      <c r="E94" t="s">
        <v>370</v>
      </c>
      <c r="F94" t="s">
        <v>59</v>
      </c>
      <c r="G94" t="s">
        <v>139</v>
      </c>
      <c r="H94" t="s">
        <v>296</v>
      </c>
      <c r="I94">
        <v>24990</v>
      </c>
      <c r="J94">
        <v>24990</v>
      </c>
      <c r="K94">
        <v>0</v>
      </c>
      <c r="L94">
        <v>0</v>
      </c>
      <c r="M94" t="s">
        <v>94</v>
      </c>
      <c r="N94" t="s">
        <v>95</v>
      </c>
      <c r="Q94">
        <v>46265</v>
      </c>
    </row>
    <row r="95" spans="1:17">
      <c r="A95" t="s">
        <v>371</v>
      </c>
      <c r="B95">
        <v>46265</v>
      </c>
      <c r="C95" t="s">
        <v>56</v>
      </c>
      <c r="D95" t="s">
        <v>372</v>
      </c>
      <c r="E95" t="s">
        <v>373</v>
      </c>
      <c r="F95" t="s">
        <v>59</v>
      </c>
      <c r="G95" t="s">
        <v>139</v>
      </c>
      <c r="H95" t="s">
        <v>296</v>
      </c>
      <c r="I95">
        <v>14990</v>
      </c>
      <c r="J95">
        <v>14990</v>
      </c>
      <c r="K95">
        <v>0</v>
      </c>
      <c r="L95">
        <v>0</v>
      </c>
      <c r="M95" t="s">
        <v>94</v>
      </c>
      <c r="N95" t="s">
        <v>95</v>
      </c>
      <c r="Q95">
        <v>46265</v>
      </c>
    </row>
    <row r="96" spans="1:17">
      <c r="A96" t="s">
        <v>374</v>
      </c>
      <c r="B96">
        <v>46265</v>
      </c>
      <c r="C96" t="s">
        <v>56</v>
      </c>
      <c r="D96" t="s">
        <v>375</v>
      </c>
      <c r="E96" t="s">
        <v>376</v>
      </c>
      <c r="F96" t="s">
        <v>59</v>
      </c>
      <c r="G96" t="s">
        <v>139</v>
      </c>
      <c r="H96" t="s">
        <v>296</v>
      </c>
      <c r="I96">
        <v>18990</v>
      </c>
      <c r="J96">
        <v>18990</v>
      </c>
      <c r="K96">
        <v>0</v>
      </c>
      <c r="L96">
        <v>0</v>
      </c>
      <c r="M96" t="s">
        <v>94</v>
      </c>
      <c r="N96" t="s">
        <v>95</v>
      </c>
      <c r="Q96">
        <v>46265</v>
      </c>
    </row>
    <row r="97" spans="1:17">
      <c r="A97" t="s">
        <v>377</v>
      </c>
      <c r="B97">
        <v>46265</v>
      </c>
      <c r="C97" t="s">
        <v>56</v>
      </c>
      <c r="D97" t="s">
        <v>378</v>
      </c>
      <c r="E97" t="s">
        <v>379</v>
      </c>
      <c r="F97" t="s">
        <v>59</v>
      </c>
      <c r="G97" t="s">
        <v>90</v>
      </c>
      <c r="H97" t="s">
        <v>296</v>
      </c>
      <c r="I97">
        <v>13990</v>
      </c>
      <c r="J97">
        <v>13990</v>
      </c>
      <c r="K97">
        <v>0</v>
      </c>
      <c r="L97">
        <v>0</v>
      </c>
      <c r="M97" t="s">
        <v>94</v>
      </c>
      <c r="N97" t="s">
        <v>95</v>
      </c>
      <c r="Q97">
        <v>46265</v>
      </c>
    </row>
    <row r="98" spans="1:17">
      <c r="A98" t="s">
        <v>380</v>
      </c>
      <c r="B98">
        <v>46265</v>
      </c>
      <c r="C98" t="s">
        <v>56</v>
      </c>
      <c r="D98" t="s">
        <v>381</v>
      </c>
      <c r="E98" t="s">
        <v>382</v>
      </c>
      <c r="F98" t="s">
        <v>59</v>
      </c>
      <c r="G98" t="s">
        <v>139</v>
      </c>
      <c r="H98" t="s">
        <v>296</v>
      </c>
      <c r="I98">
        <v>18990</v>
      </c>
      <c r="J98">
        <v>18990</v>
      </c>
      <c r="K98">
        <v>0</v>
      </c>
      <c r="L98">
        <v>0</v>
      </c>
      <c r="M98" t="s">
        <v>94</v>
      </c>
      <c r="N98" t="s">
        <v>95</v>
      </c>
      <c r="Q98">
        <v>46265</v>
      </c>
    </row>
    <row r="99" spans="1:17">
      <c r="A99" t="s">
        <v>383</v>
      </c>
      <c r="B99">
        <v>46265</v>
      </c>
      <c r="C99" t="s">
        <v>56</v>
      </c>
      <c r="D99" t="s">
        <v>384</v>
      </c>
      <c r="E99" t="s">
        <v>385</v>
      </c>
      <c r="F99" t="s">
        <v>59</v>
      </c>
      <c r="G99" t="s">
        <v>139</v>
      </c>
      <c r="H99" t="s">
        <v>296</v>
      </c>
      <c r="I99">
        <v>16990</v>
      </c>
      <c r="J99">
        <v>16990</v>
      </c>
      <c r="K99">
        <v>0</v>
      </c>
      <c r="L99">
        <v>0</v>
      </c>
      <c r="M99" t="s">
        <v>94</v>
      </c>
      <c r="N99" t="s">
        <v>95</v>
      </c>
      <c r="Q99">
        <v>46265</v>
      </c>
    </row>
    <row r="100" spans="1:17">
      <c r="A100" t="s">
        <v>386</v>
      </c>
      <c r="B100">
        <v>46265</v>
      </c>
      <c r="C100" t="s">
        <v>56</v>
      </c>
      <c r="D100" t="s">
        <v>387</v>
      </c>
      <c r="E100" t="s">
        <v>388</v>
      </c>
      <c r="F100" t="s">
        <v>59</v>
      </c>
      <c r="G100" t="s">
        <v>139</v>
      </c>
      <c r="H100" t="s">
        <v>296</v>
      </c>
      <c r="I100">
        <v>27990</v>
      </c>
      <c r="J100">
        <v>27990</v>
      </c>
      <c r="K100">
        <v>0</v>
      </c>
      <c r="L100">
        <v>0</v>
      </c>
      <c r="M100" t="s">
        <v>94</v>
      </c>
      <c r="N100" t="s">
        <v>95</v>
      </c>
      <c r="Q100">
        <v>46265</v>
      </c>
    </row>
    <row r="101" spans="1:17">
      <c r="A101" t="s">
        <v>389</v>
      </c>
      <c r="B101">
        <v>46265</v>
      </c>
      <c r="C101" t="s">
        <v>56</v>
      </c>
      <c r="D101" t="s">
        <v>390</v>
      </c>
      <c r="E101" t="s">
        <v>391</v>
      </c>
      <c r="F101" t="s">
        <v>59</v>
      </c>
      <c r="G101" t="s">
        <v>90</v>
      </c>
      <c r="H101" t="s">
        <v>296</v>
      </c>
      <c r="I101">
        <v>15990</v>
      </c>
      <c r="J101">
        <v>15990</v>
      </c>
      <c r="K101">
        <v>0</v>
      </c>
      <c r="L101">
        <v>0</v>
      </c>
      <c r="M101" t="s">
        <v>94</v>
      </c>
      <c r="N101" t="s">
        <v>95</v>
      </c>
      <c r="Q101">
        <v>46265</v>
      </c>
    </row>
    <row r="102" spans="1:17">
      <c r="A102" t="s">
        <v>392</v>
      </c>
      <c r="B102">
        <v>46265</v>
      </c>
      <c r="C102" t="s">
        <v>58</v>
      </c>
      <c r="D102" t="s">
        <v>393</v>
      </c>
      <c r="E102" t="s">
        <v>394</v>
      </c>
      <c r="F102" t="s">
        <v>57</v>
      </c>
      <c r="G102" t="s">
        <v>139</v>
      </c>
      <c r="H102" t="s">
        <v>57</v>
      </c>
      <c r="I102">
        <v>36990</v>
      </c>
      <c r="J102">
        <v>36990</v>
      </c>
      <c r="K102">
        <v>0</v>
      </c>
      <c r="L102">
        <v>0</v>
      </c>
      <c r="M102" t="s">
        <v>94</v>
      </c>
      <c r="N102" t="s">
        <v>95</v>
      </c>
      <c r="Q102">
        <v>46265</v>
      </c>
    </row>
    <row r="103" spans="1:17">
      <c r="A103" t="s">
        <v>395</v>
      </c>
      <c r="B103">
        <v>46265</v>
      </c>
      <c r="C103" t="s">
        <v>58</v>
      </c>
      <c r="D103" t="s">
        <v>393</v>
      </c>
      <c r="E103" t="s">
        <v>396</v>
      </c>
      <c r="F103" t="s">
        <v>57</v>
      </c>
      <c r="G103" t="s">
        <v>139</v>
      </c>
      <c r="H103" t="s">
        <v>57</v>
      </c>
      <c r="I103">
        <v>36990</v>
      </c>
      <c r="J103">
        <v>36990</v>
      </c>
      <c r="K103">
        <v>0</v>
      </c>
      <c r="L103">
        <v>0</v>
      </c>
      <c r="M103" t="s">
        <v>94</v>
      </c>
      <c r="N103" t="s">
        <v>95</v>
      </c>
      <c r="Q103">
        <v>46265</v>
      </c>
    </row>
    <row r="104" spans="1:17">
      <c r="A104" t="s">
        <v>397</v>
      </c>
      <c r="B104">
        <v>46265</v>
      </c>
      <c r="C104" t="s">
        <v>58</v>
      </c>
      <c r="D104" t="s">
        <v>393</v>
      </c>
      <c r="E104" t="s">
        <v>398</v>
      </c>
      <c r="F104" t="s">
        <v>57</v>
      </c>
      <c r="G104" t="s">
        <v>139</v>
      </c>
      <c r="H104" t="s">
        <v>57</v>
      </c>
      <c r="I104">
        <v>35990</v>
      </c>
      <c r="J104">
        <v>35990</v>
      </c>
      <c r="K104">
        <v>0</v>
      </c>
      <c r="L104">
        <v>0</v>
      </c>
      <c r="M104" t="s">
        <v>94</v>
      </c>
      <c r="N104" t="s">
        <v>95</v>
      </c>
      <c r="Q104">
        <v>46265</v>
      </c>
    </row>
    <row r="105" spans="1:17">
      <c r="A105" t="s">
        <v>399</v>
      </c>
      <c r="B105">
        <v>46265</v>
      </c>
      <c r="C105" t="s">
        <v>58</v>
      </c>
      <c r="D105" t="s">
        <v>393</v>
      </c>
      <c r="E105" t="s">
        <v>400</v>
      </c>
      <c r="F105" t="s">
        <v>57</v>
      </c>
      <c r="G105" t="s">
        <v>139</v>
      </c>
      <c r="H105" t="s">
        <v>57</v>
      </c>
      <c r="I105">
        <v>35990</v>
      </c>
      <c r="J105">
        <v>35990</v>
      </c>
      <c r="K105">
        <v>0</v>
      </c>
      <c r="L105">
        <v>0</v>
      </c>
      <c r="M105" t="s">
        <v>94</v>
      </c>
      <c r="N105" t="s">
        <v>95</v>
      </c>
      <c r="Q105">
        <v>46265</v>
      </c>
    </row>
    <row r="106" spans="1:17">
      <c r="A106" t="s">
        <v>401</v>
      </c>
      <c r="B106">
        <v>46265</v>
      </c>
      <c r="C106" t="s">
        <v>58</v>
      </c>
      <c r="D106" t="s">
        <v>393</v>
      </c>
      <c r="E106" t="s">
        <v>402</v>
      </c>
      <c r="F106" t="s">
        <v>57</v>
      </c>
      <c r="G106" t="s">
        <v>139</v>
      </c>
      <c r="H106" t="s">
        <v>57</v>
      </c>
      <c r="I106">
        <v>35990</v>
      </c>
      <c r="J106">
        <v>35990</v>
      </c>
      <c r="K106">
        <v>0</v>
      </c>
      <c r="L106">
        <v>0</v>
      </c>
      <c r="M106" t="s">
        <v>94</v>
      </c>
      <c r="N106" t="s">
        <v>95</v>
      </c>
      <c r="Q106">
        <v>46265</v>
      </c>
    </row>
    <row r="107" spans="1:17">
      <c r="A107" t="s">
        <v>403</v>
      </c>
      <c r="B107">
        <v>46265</v>
      </c>
      <c r="C107" t="s">
        <v>58</v>
      </c>
      <c r="D107" t="s">
        <v>393</v>
      </c>
      <c r="E107" t="s">
        <v>404</v>
      </c>
      <c r="F107" t="s">
        <v>57</v>
      </c>
      <c r="G107" t="s">
        <v>139</v>
      </c>
      <c r="H107" t="s">
        <v>57</v>
      </c>
      <c r="I107">
        <v>33990</v>
      </c>
      <c r="J107">
        <v>33990</v>
      </c>
      <c r="K107">
        <v>0</v>
      </c>
      <c r="L107">
        <v>0</v>
      </c>
      <c r="M107" t="s">
        <v>94</v>
      </c>
      <c r="N107" t="s">
        <v>95</v>
      </c>
      <c r="Q107">
        <v>46265</v>
      </c>
    </row>
    <row r="108" spans="1:17">
      <c r="A108" t="s">
        <v>405</v>
      </c>
      <c r="B108">
        <v>46265</v>
      </c>
      <c r="C108" t="s">
        <v>58</v>
      </c>
      <c r="D108" t="s">
        <v>406</v>
      </c>
      <c r="E108" t="s">
        <v>407</v>
      </c>
      <c r="F108" t="s">
        <v>57</v>
      </c>
      <c r="G108" t="s">
        <v>139</v>
      </c>
      <c r="H108" t="s">
        <v>57</v>
      </c>
      <c r="I108">
        <v>17990</v>
      </c>
      <c r="J108">
        <v>17990</v>
      </c>
      <c r="K108">
        <v>0</v>
      </c>
      <c r="L108">
        <v>0</v>
      </c>
      <c r="M108" t="s">
        <v>94</v>
      </c>
      <c r="N108" t="s">
        <v>95</v>
      </c>
      <c r="Q108">
        <v>46265</v>
      </c>
    </row>
    <row r="109" spans="1:17">
      <c r="A109" t="s">
        <v>408</v>
      </c>
      <c r="B109">
        <v>46265</v>
      </c>
      <c r="C109" t="s">
        <v>58</v>
      </c>
      <c r="D109" t="s">
        <v>406</v>
      </c>
      <c r="E109" t="s">
        <v>409</v>
      </c>
      <c r="F109" t="s">
        <v>57</v>
      </c>
      <c r="G109" t="s">
        <v>139</v>
      </c>
      <c r="H109" t="s">
        <v>57</v>
      </c>
      <c r="I109">
        <v>18790</v>
      </c>
      <c r="J109">
        <v>18790</v>
      </c>
      <c r="K109">
        <v>0</v>
      </c>
      <c r="L109">
        <v>0</v>
      </c>
      <c r="M109" t="s">
        <v>94</v>
      </c>
      <c r="N109" t="s">
        <v>95</v>
      </c>
      <c r="Q109">
        <v>46265</v>
      </c>
    </row>
    <row r="110" spans="1:17">
      <c r="A110" t="s">
        <v>410</v>
      </c>
      <c r="B110">
        <v>46265</v>
      </c>
      <c r="C110" t="s">
        <v>58</v>
      </c>
      <c r="D110" t="s">
        <v>406</v>
      </c>
      <c r="E110" t="s">
        <v>411</v>
      </c>
      <c r="F110" t="s">
        <v>57</v>
      </c>
      <c r="G110" t="s">
        <v>139</v>
      </c>
      <c r="H110" t="s">
        <v>57</v>
      </c>
      <c r="I110">
        <v>18790</v>
      </c>
      <c r="J110">
        <v>18790</v>
      </c>
      <c r="K110">
        <v>0</v>
      </c>
      <c r="L110">
        <v>0</v>
      </c>
      <c r="M110" t="s">
        <v>94</v>
      </c>
      <c r="N110" t="s">
        <v>95</v>
      </c>
      <c r="Q110">
        <v>46265</v>
      </c>
    </row>
    <row r="111" spans="1:17">
      <c r="A111" t="s">
        <v>412</v>
      </c>
      <c r="B111">
        <v>46265</v>
      </c>
      <c r="C111" t="s">
        <v>58</v>
      </c>
      <c r="D111" t="s">
        <v>406</v>
      </c>
      <c r="E111" t="s">
        <v>413</v>
      </c>
      <c r="F111" t="s">
        <v>57</v>
      </c>
      <c r="G111" t="s">
        <v>139</v>
      </c>
      <c r="H111" t="s">
        <v>57</v>
      </c>
      <c r="I111">
        <v>19490</v>
      </c>
      <c r="J111">
        <v>19490</v>
      </c>
      <c r="K111">
        <v>0</v>
      </c>
      <c r="L111">
        <v>0</v>
      </c>
      <c r="M111" t="s">
        <v>94</v>
      </c>
      <c r="N111" t="s">
        <v>95</v>
      </c>
      <c r="Q111">
        <v>46265</v>
      </c>
    </row>
    <row r="112" spans="1:17">
      <c r="A112" t="s">
        <v>414</v>
      </c>
      <c r="B112">
        <v>46265</v>
      </c>
      <c r="C112" t="s">
        <v>58</v>
      </c>
      <c r="D112" t="s">
        <v>415</v>
      </c>
      <c r="E112" t="s">
        <v>416</v>
      </c>
      <c r="F112" t="s">
        <v>57</v>
      </c>
      <c r="G112" t="s">
        <v>139</v>
      </c>
      <c r="H112" t="s">
        <v>57</v>
      </c>
      <c r="I112">
        <v>17990</v>
      </c>
      <c r="J112">
        <v>17990</v>
      </c>
      <c r="K112">
        <v>0</v>
      </c>
      <c r="L112">
        <v>0</v>
      </c>
      <c r="M112" t="s">
        <v>94</v>
      </c>
      <c r="N112" t="s">
        <v>95</v>
      </c>
      <c r="Q112">
        <v>46265</v>
      </c>
    </row>
    <row r="113" spans="1:17">
      <c r="A113" t="s">
        <v>417</v>
      </c>
      <c r="B113">
        <v>46265</v>
      </c>
      <c r="C113" t="s">
        <v>58</v>
      </c>
      <c r="D113" t="s">
        <v>406</v>
      </c>
      <c r="E113" t="s">
        <v>418</v>
      </c>
      <c r="F113" t="s">
        <v>57</v>
      </c>
      <c r="G113" t="s">
        <v>139</v>
      </c>
      <c r="H113" t="s">
        <v>57</v>
      </c>
      <c r="I113">
        <v>19490</v>
      </c>
      <c r="J113">
        <v>19490</v>
      </c>
      <c r="K113">
        <v>0</v>
      </c>
      <c r="L113">
        <v>0</v>
      </c>
      <c r="M113" t="s">
        <v>94</v>
      </c>
      <c r="N113" t="s">
        <v>95</v>
      </c>
      <c r="Q113">
        <v>46265</v>
      </c>
    </row>
    <row r="114" spans="1:17">
      <c r="A114" t="s">
        <v>419</v>
      </c>
      <c r="B114">
        <v>46265</v>
      </c>
      <c r="C114" t="s">
        <v>58</v>
      </c>
      <c r="D114" t="s">
        <v>406</v>
      </c>
      <c r="E114" t="s">
        <v>420</v>
      </c>
      <c r="F114" t="s">
        <v>57</v>
      </c>
      <c r="G114" t="s">
        <v>139</v>
      </c>
      <c r="H114" t="s">
        <v>57</v>
      </c>
      <c r="I114">
        <v>17990</v>
      </c>
      <c r="J114">
        <v>17990</v>
      </c>
      <c r="K114">
        <v>0</v>
      </c>
      <c r="L114">
        <v>0</v>
      </c>
      <c r="M114" t="s">
        <v>94</v>
      </c>
      <c r="N114" t="s">
        <v>95</v>
      </c>
      <c r="Q114">
        <v>46265</v>
      </c>
    </row>
    <row r="115" spans="1:17">
      <c r="A115" t="s">
        <v>421</v>
      </c>
      <c r="B115">
        <v>46265</v>
      </c>
      <c r="C115" t="s">
        <v>58</v>
      </c>
      <c r="D115" t="s">
        <v>406</v>
      </c>
      <c r="E115" t="s">
        <v>422</v>
      </c>
      <c r="F115" t="s">
        <v>57</v>
      </c>
      <c r="G115" t="s">
        <v>139</v>
      </c>
      <c r="H115" t="s">
        <v>57</v>
      </c>
      <c r="I115">
        <v>19490</v>
      </c>
      <c r="J115">
        <v>19490</v>
      </c>
      <c r="K115">
        <v>0</v>
      </c>
      <c r="L115">
        <v>0</v>
      </c>
      <c r="M115" t="s">
        <v>94</v>
      </c>
      <c r="N115" t="s">
        <v>95</v>
      </c>
      <c r="Q115">
        <v>46265</v>
      </c>
    </row>
    <row r="116" spans="1:17">
      <c r="A116" t="s">
        <v>423</v>
      </c>
      <c r="B116">
        <v>46265</v>
      </c>
      <c r="C116" t="s">
        <v>58</v>
      </c>
      <c r="D116" t="s">
        <v>406</v>
      </c>
      <c r="E116" t="s">
        <v>424</v>
      </c>
      <c r="F116" t="s">
        <v>57</v>
      </c>
      <c r="G116" t="s">
        <v>139</v>
      </c>
      <c r="H116" t="s">
        <v>57</v>
      </c>
      <c r="I116">
        <v>19490</v>
      </c>
      <c r="J116">
        <v>19490</v>
      </c>
      <c r="K116">
        <v>0</v>
      </c>
      <c r="L116">
        <v>0</v>
      </c>
      <c r="M116" t="s">
        <v>94</v>
      </c>
      <c r="N116" t="s">
        <v>95</v>
      </c>
      <c r="Q116">
        <v>46265</v>
      </c>
    </row>
    <row r="117" spans="1:17">
      <c r="A117" t="s">
        <v>425</v>
      </c>
      <c r="B117">
        <v>46265</v>
      </c>
      <c r="C117" t="s">
        <v>58</v>
      </c>
      <c r="D117" t="s">
        <v>415</v>
      </c>
      <c r="E117" t="s">
        <v>426</v>
      </c>
      <c r="F117" t="s">
        <v>57</v>
      </c>
      <c r="G117" t="s">
        <v>139</v>
      </c>
      <c r="H117" t="s">
        <v>57</v>
      </c>
      <c r="I117">
        <v>17990</v>
      </c>
      <c r="J117">
        <v>17990</v>
      </c>
      <c r="K117">
        <v>0</v>
      </c>
      <c r="L117">
        <v>0</v>
      </c>
      <c r="M117" t="s">
        <v>94</v>
      </c>
      <c r="N117" t="s">
        <v>95</v>
      </c>
      <c r="Q117">
        <v>46265</v>
      </c>
    </row>
    <row r="118" spans="1:17">
      <c r="A118" t="s">
        <v>427</v>
      </c>
      <c r="B118">
        <v>46265</v>
      </c>
      <c r="C118" t="s">
        <v>58</v>
      </c>
      <c r="D118" t="s">
        <v>406</v>
      </c>
      <c r="E118" t="s">
        <v>428</v>
      </c>
      <c r="F118" t="s">
        <v>57</v>
      </c>
      <c r="G118" t="s">
        <v>139</v>
      </c>
      <c r="H118" t="s">
        <v>57</v>
      </c>
      <c r="I118">
        <v>18790</v>
      </c>
      <c r="J118">
        <v>18790</v>
      </c>
      <c r="K118">
        <v>0</v>
      </c>
      <c r="L118">
        <v>0</v>
      </c>
      <c r="M118" t="s">
        <v>94</v>
      </c>
      <c r="N118" t="s">
        <v>95</v>
      </c>
      <c r="Q118">
        <v>46265</v>
      </c>
    </row>
    <row r="119" spans="1:17">
      <c r="A119" t="s">
        <v>429</v>
      </c>
      <c r="B119">
        <v>46265</v>
      </c>
      <c r="C119" t="s">
        <v>58</v>
      </c>
      <c r="D119" t="s">
        <v>406</v>
      </c>
      <c r="E119" t="s">
        <v>430</v>
      </c>
      <c r="F119" t="s">
        <v>57</v>
      </c>
      <c r="G119" t="s">
        <v>139</v>
      </c>
      <c r="H119" t="s">
        <v>57</v>
      </c>
      <c r="I119">
        <v>18790</v>
      </c>
      <c r="J119">
        <v>18790</v>
      </c>
      <c r="K119">
        <v>0</v>
      </c>
      <c r="L119">
        <v>0</v>
      </c>
      <c r="M119" t="s">
        <v>94</v>
      </c>
      <c r="N119" t="s">
        <v>95</v>
      </c>
      <c r="Q119">
        <v>46265</v>
      </c>
    </row>
    <row r="120" spans="1:17">
      <c r="A120" t="s">
        <v>431</v>
      </c>
      <c r="B120">
        <v>46265</v>
      </c>
      <c r="C120" t="s">
        <v>58</v>
      </c>
      <c r="D120" t="s">
        <v>415</v>
      </c>
      <c r="E120" t="s">
        <v>432</v>
      </c>
      <c r="F120" t="s">
        <v>57</v>
      </c>
      <c r="G120" t="s">
        <v>139</v>
      </c>
      <c r="H120" t="s">
        <v>57</v>
      </c>
      <c r="I120">
        <v>19490</v>
      </c>
      <c r="J120">
        <v>19490</v>
      </c>
      <c r="K120">
        <v>0</v>
      </c>
      <c r="L120">
        <v>0</v>
      </c>
      <c r="M120" t="s">
        <v>94</v>
      </c>
      <c r="N120" t="s">
        <v>95</v>
      </c>
      <c r="Q120">
        <v>46265</v>
      </c>
    </row>
    <row r="121" spans="1:17">
      <c r="A121" t="s">
        <v>433</v>
      </c>
      <c r="B121">
        <v>46265</v>
      </c>
      <c r="C121" t="s">
        <v>58</v>
      </c>
      <c r="D121" t="s">
        <v>434</v>
      </c>
      <c r="E121" t="s">
        <v>435</v>
      </c>
      <c r="F121" t="s">
        <v>57</v>
      </c>
      <c r="G121" t="s">
        <v>139</v>
      </c>
      <c r="H121" t="s">
        <v>57</v>
      </c>
      <c r="I121">
        <v>9990</v>
      </c>
      <c r="J121">
        <v>9990</v>
      </c>
      <c r="K121">
        <v>0</v>
      </c>
      <c r="L121">
        <v>0</v>
      </c>
      <c r="M121" t="s">
        <v>94</v>
      </c>
      <c r="N121" t="s">
        <v>95</v>
      </c>
      <c r="Q121">
        <v>46265</v>
      </c>
    </row>
    <row r="122" spans="1:17">
      <c r="A122" t="s">
        <v>436</v>
      </c>
      <c r="B122">
        <v>46265</v>
      </c>
      <c r="C122" t="s">
        <v>58</v>
      </c>
      <c r="D122" t="s">
        <v>434</v>
      </c>
      <c r="E122" t="s">
        <v>437</v>
      </c>
      <c r="F122" t="s">
        <v>57</v>
      </c>
      <c r="G122" t="s">
        <v>139</v>
      </c>
      <c r="H122" t="s">
        <v>57</v>
      </c>
      <c r="I122">
        <v>9990</v>
      </c>
      <c r="J122">
        <v>9990</v>
      </c>
      <c r="K122">
        <v>0</v>
      </c>
      <c r="L122">
        <v>0</v>
      </c>
      <c r="M122" t="s">
        <v>94</v>
      </c>
      <c r="N122" t="s">
        <v>95</v>
      </c>
      <c r="Q122">
        <v>46265</v>
      </c>
    </row>
    <row r="123" spans="1:17">
      <c r="A123" t="s">
        <v>438</v>
      </c>
      <c r="B123">
        <v>46265</v>
      </c>
      <c r="C123" t="s">
        <v>58</v>
      </c>
      <c r="D123" t="s">
        <v>406</v>
      </c>
      <c r="E123" t="s">
        <v>439</v>
      </c>
      <c r="F123" t="s">
        <v>57</v>
      </c>
      <c r="G123" t="s">
        <v>139</v>
      </c>
      <c r="H123" t="s">
        <v>57</v>
      </c>
      <c r="I123">
        <v>10490</v>
      </c>
      <c r="J123">
        <v>10490</v>
      </c>
      <c r="K123">
        <v>0</v>
      </c>
      <c r="L123">
        <v>0</v>
      </c>
      <c r="M123" t="s">
        <v>94</v>
      </c>
      <c r="N123" t="s">
        <v>95</v>
      </c>
      <c r="Q123">
        <v>46265</v>
      </c>
    </row>
    <row r="124" spans="1:17">
      <c r="A124" t="s">
        <v>440</v>
      </c>
      <c r="B124">
        <v>46265</v>
      </c>
      <c r="C124" t="s">
        <v>58</v>
      </c>
      <c r="D124" t="s">
        <v>406</v>
      </c>
      <c r="E124" t="s">
        <v>441</v>
      </c>
      <c r="F124" t="s">
        <v>57</v>
      </c>
      <c r="G124" t="s">
        <v>139</v>
      </c>
      <c r="H124" t="s">
        <v>57</v>
      </c>
      <c r="I124">
        <v>10490</v>
      </c>
      <c r="J124">
        <v>10490</v>
      </c>
      <c r="K124">
        <v>0</v>
      </c>
      <c r="L124">
        <v>0</v>
      </c>
      <c r="M124" t="s">
        <v>94</v>
      </c>
      <c r="N124" t="s">
        <v>95</v>
      </c>
      <c r="Q124">
        <v>46265</v>
      </c>
    </row>
    <row r="125" spans="1:17">
      <c r="A125" t="s">
        <v>442</v>
      </c>
      <c r="B125">
        <v>46265</v>
      </c>
      <c r="C125" t="s">
        <v>58</v>
      </c>
      <c r="D125" t="s">
        <v>406</v>
      </c>
      <c r="E125" t="s">
        <v>443</v>
      </c>
      <c r="F125" t="s">
        <v>57</v>
      </c>
      <c r="G125" t="s">
        <v>139</v>
      </c>
      <c r="H125" t="s">
        <v>57</v>
      </c>
      <c r="I125">
        <v>10490</v>
      </c>
      <c r="J125">
        <v>10490</v>
      </c>
      <c r="K125">
        <v>0</v>
      </c>
      <c r="L125">
        <v>0</v>
      </c>
      <c r="M125" t="s">
        <v>94</v>
      </c>
      <c r="N125" t="s">
        <v>95</v>
      </c>
      <c r="Q125">
        <v>46265</v>
      </c>
    </row>
    <row r="126" spans="1:17">
      <c r="A126" t="s">
        <v>444</v>
      </c>
      <c r="B126">
        <v>46265</v>
      </c>
      <c r="C126" t="s">
        <v>58</v>
      </c>
      <c r="D126" t="s">
        <v>406</v>
      </c>
      <c r="E126" t="s">
        <v>445</v>
      </c>
      <c r="F126" t="s">
        <v>57</v>
      </c>
      <c r="G126" t="s">
        <v>139</v>
      </c>
      <c r="H126" t="s">
        <v>57</v>
      </c>
      <c r="I126">
        <v>10990</v>
      </c>
      <c r="J126">
        <v>10990</v>
      </c>
      <c r="K126">
        <v>0</v>
      </c>
      <c r="L126">
        <v>0</v>
      </c>
      <c r="M126" t="s">
        <v>94</v>
      </c>
      <c r="N126" t="s">
        <v>95</v>
      </c>
      <c r="Q126">
        <v>46265</v>
      </c>
    </row>
    <row r="127" spans="1:17">
      <c r="A127" t="s">
        <v>446</v>
      </c>
      <c r="B127">
        <v>46265</v>
      </c>
      <c r="C127" t="s">
        <v>58</v>
      </c>
      <c r="D127" t="s">
        <v>447</v>
      </c>
      <c r="E127" t="s">
        <v>448</v>
      </c>
      <c r="F127" t="s">
        <v>65</v>
      </c>
      <c r="G127" t="s">
        <v>139</v>
      </c>
      <c r="H127" t="s">
        <v>65</v>
      </c>
      <c r="I127">
        <v>12990</v>
      </c>
      <c r="J127">
        <v>11691</v>
      </c>
      <c r="K127">
        <v>1299</v>
      </c>
      <c r="L127">
        <v>10</v>
      </c>
      <c r="M127" t="s">
        <v>94</v>
      </c>
      <c r="N127" t="s">
        <v>95</v>
      </c>
      <c r="Q127">
        <v>46265</v>
      </c>
    </row>
    <row r="128" spans="1:17">
      <c r="A128" t="s">
        <v>450</v>
      </c>
      <c r="B128">
        <v>46265</v>
      </c>
      <c r="C128" t="s">
        <v>58</v>
      </c>
      <c r="D128" t="s">
        <v>451</v>
      </c>
      <c r="E128" t="s">
        <v>452</v>
      </c>
      <c r="F128" t="s">
        <v>65</v>
      </c>
      <c r="G128" t="s">
        <v>139</v>
      </c>
      <c r="H128" t="s">
        <v>65</v>
      </c>
      <c r="I128">
        <v>25990</v>
      </c>
      <c r="J128">
        <v>23391</v>
      </c>
      <c r="K128">
        <v>2599</v>
      </c>
      <c r="L128">
        <v>10</v>
      </c>
      <c r="M128" t="s">
        <v>94</v>
      </c>
      <c r="N128" t="s">
        <v>95</v>
      </c>
      <c r="Q128">
        <v>46265</v>
      </c>
    </row>
    <row r="129" spans="1:17">
      <c r="A129" t="s">
        <v>453</v>
      </c>
      <c r="B129">
        <v>46265</v>
      </c>
      <c r="C129" t="s">
        <v>58</v>
      </c>
      <c r="D129" t="s">
        <v>451</v>
      </c>
      <c r="E129" t="s">
        <v>454</v>
      </c>
      <c r="F129" t="s">
        <v>65</v>
      </c>
      <c r="G129" t="s">
        <v>139</v>
      </c>
      <c r="H129" t="s">
        <v>65</v>
      </c>
      <c r="I129">
        <v>24990</v>
      </c>
      <c r="J129">
        <v>22491</v>
      </c>
      <c r="K129">
        <v>2499</v>
      </c>
      <c r="L129">
        <v>10</v>
      </c>
      <c r="M129" t="s">
        <v>94</v>
      </c>
      <c r="N129" t="s">
        <v>95</v>
      </c>
      <c r="Q129">
        <v>46265</v>
      </c>
    </row>
    <row r="130" spans="1:17">
      <c r="A130" t="s">
        <v>455</v>
      </c>
      <c r="B130">
        <v>46265</v>
      </c>
      <c r="C130" t="s">
        <v>58</v>
      </c>
      <c r="D130" t="s">
        <v>456</v>
      </c>
      <c r="E130" t="s">
        <v>457</v>
      </c>
      <c r="F130" t="s">
        <v>65</v>
      </c>
      <c r="G130" t="s">
        <v>126</v>
      </c>
      <c r="H130" t="s">
        <v>65</v>
      </c>
      <c r="I130">
        <v>24990</v>
      </c>
      <c r="J130">
        <v>22491</v>
      </c>
      <c r="K130">
        <v>2499</v>
      </c>
      <c r="L130">
        <v>10</v>
      </c>
      <c r="M130" t="s">
        <v>94</v>
      </c>
      <c r="N130" t="s">
        <v>95</v>
      </c>
      <c r="Q130">
        <v>46265</v>
      </c>
    </row>
    <row r="131" spans="1:17">
      <c r="A131" t="s">
        <v>458</v>
      </c>
      <c r="B131">
        <v>46265</v>
      </c>
      <c r="C131" t="s">
        <v>58</v>
      </c>
      <c r="D131" t="s">
        <v>459</v>
      </c>
      <c r="E131" t="s">
        <v>460</v>
      </c>
      <c r="F131" t="s">
        <v>65</v>
      </c>
      <c r="G131" t="s">
        <v>139</v>
      </c>
      <c r="H131" t="s">
        <v>65</v>
      </c>
      <c r="I131">
        <v>24990</v>
      </c>
      <c r="J131">
        <v>22491</v>
      </c>
      <c r="K131">
        <v>2499</v>
      </c>
      <c r="L131">
        <v>10</v>
      </c>
      <c r="M131" t="s">
        <v>94</v>
      </c>
      <c r="N131" t="s">
        <v>95</v>
      </c>
      <c r="Q131">
        <v>46265</v>
      </c>
    </row>
    <row r="132" spans="1:17">
      <c r="A132" t="s">
        <v>461</v>
      </c>
      <c r="B132">
        <v>46265</v>
      </c>
      <c r="C132" t="s">
        <v>58</v>
      </c>
      <c r="D132" t="s">
        <v>456</v>
      </c>
      <c r="E132" t="s">
        <v>462</v>
      </c>
      <c r="F132" t="s">
        <v>65</v>
      </c>
      <c r="G132" t="s">
        <v>126</v>
      </c>
      <c r="H132" t="s">
        <v>65</v>
      </c>
      <c r="I132">
        <v>23990</v>
      </c>
      <c r="J132">
        <v>21591</v>
      </c>
      <c r="K132">
        <v>2399</v>
      </c>
      <c r="L132">
        <v>10</v>
      </c>
      <c r="M132" t="s">
        <v>94</v>
      </c>
      <c r="N132" t="s">
        <v>95</v>
      </c>
      <c r="Q132">
        <v>46265</v>
      </c>
    </row>
    <row r="133" spans="1:17">
      <c r="A133" t="s">
        <v>463</v>
      </c>
      <c r="B133">
        <v>46265</v>
      </c>
      <c r="C133" t="s">
        <v>58</v>
      </c>
      <c r="D133" t="s">
        <v>456</v>
      </c>
      <c r="E133" t="s">
        <v>464</v>
      </c>
      <c r="F133" t="s">
        <v>65</v>
      </c>
      <c r="G133" t="s">
        <v>126</v>
      </c>
      <c r="H133" t="s">
        <v>65</v>
      </c>
      <c r="I133">
        <v>21990</v>
      </c>
      <c r="J133">
        <v>19791</v>
      </c>
      <c r="K133">
        <v>2199</v>
      </c>
      <c r="L133">
        <v>10</v>
      </c>
      <c r="M133" t="s">
        <v>94</v>
      </c>
      <c r="N133" t="s">
        <v>95</v>
      </c>
      <c r="Q133">
        <v>46265</v>
      </c>
    </row>
    <row r="134" spans="1:17">
      <c r="A134" t="s">
        <v>465</v>
      </c>
      <c r="B134">
        <v>46265</v>
      </c>
      <c r="C134" t="s">
        <v>58</v>
      </c>
      <c r="D134" t="s">
        <v>466</v>
      </c>
      <c r="E134" t="s">
        <v>467</v>
      </c>
      <c r="F134" t="s">
        <v>65</v>
      </c>
      <c r="G134" t="s">
        <v>126</v>
      </c>
      <c r="H134" t="s">
        <v>65</v>
      </c>
      <c r="I134">
        <v>20990</v>
      </c>
      <c r="J134">
        <v>18891</v>
      </c>
      <c r="K134">
        <v>2099</v>
      </c>
      <c r="L134">
        <v>10</v>
      </c>
      <c r="M134" t="s">
        <v>94</v>
      </c>
      <c r="N134" t="s">
        <v>95</v>
      </c>
      <c r="Q134">
        <v>46265</v>
      </c>
    </row>
    <row r="135" spans="1:17">
      <c r="A135" t="s">
        <v>468</v>
      </c>
      <c r="B135">
        <v>46265</v>
      </c>
      <c r="C135" t="s">
        <v>58</v>
      </c>
      <c r="D135" t="s">
        <v>469</v>
      </c>
      <c r="E135" t="s">
        <v>470</v>
      </c>
      <c r="F135" t="s">
        <v>65</v>
      </c>
      <c r="G135" t="s">
        <v>139</v>
      </c>
      <c r="H135" t="s">
        <v>65</v>
      </c>
      <c r="I135">
        <v>14990</v>
      </c>
      <c r="J135">
        <v>13491</v>
      </c>
      <c r="K135">
        <v>1499</v>
      </c>
      <c r="L135">
        <v>10</v>
      </c>
      <c r="M135" t="s">
        <v>94</v>
      </c>
      <c r="N135" t="s">
        <v>95</v>
      </c>
      <c r="Q135">
        <v>46265</v>
      </c>
    </row>
    <row r="136" spans="1:17">
      <c r="A136" t="s">
        <v>471</v>
      </c>
      <c r="B136">
        <v>46265</v>
      </c>
      <c r="C136" t="s">
        <v>58</v>
      </c>
      <c r="D136" t="s">
        <v>469</v>
      </c>
      <c r="E136" t="s">
        <v>472</v>
      </c>
      <c r="F136" t="s">
        <v>65</v>
      </c>
      <c r="G136" t="s">
        <v>139</v>
      </c>
      <c r="H136" t="s">
        <v>65</v>
      </c>
      <c r="I136">
        <v>14990</v>
      </c>
      <c r="J136">
        <v>13491</v>
      </c>
      <c r="K136">
        <v>1499</v>
      </c>
      <c r="L136">
        <v>10</v>
      </c>
      <c r="M136" t="s">
        <v>94</v>
      </c>
      <c r="N136" t="s">
        <v>95</v>
      </c>
      <c r="Q136">
        <v>46265</v>
      </c>
    </row>
    <row r="137" spans="1:17">
      <c r="A137" t="s">
        <v>473</v>
      </c>
      <c r="B137">
        <v>46265</v>
      </c>
      <c r="C137" t="s">
        <v>58</v>
      </c>
      <c r="D137" t="s">
        <v>469</v>
      </c>
      <c r="E137" t="s">
        <v>474</v>
      </c>
      <c r="F137" t="s">
        <v>65</v>
      </c>
      <c r="G137" t="s">
        <v>139</v>
      </c>
      <c r="H137" t="s">
        <v>65</v>
      </c>
      <c r="I137">
        <v>14990</v>
      </c>
      <c r="J137">
        <v>13491</v>
      </c>
      <c r="K137">
        <v>1499</v>
      </c>
      <c r="L137">
        <v>10</v>
      </c>
      <c r="M137" t="s">
        <v>94</v>
      </c>
      <c r="N137" t="s">
        <v>95</v>
      </c>
      <c r="Q137">
        <v>46265</v>
      </c>
    </row>
    <row r="138" spans="1:17">
      <c r="A138" t="s">
        <v>475</v>
      </c>
      <c r="B138">
        <v>46265</v>
      </c>
      <c r="C138" t="s">
        <v>58</v>
      </c>
      <c r="D138" t="s">
        <v>469</v>
      </c>
      <c r="E138" t="s">
        <v>476</v>
      </c>
      <c r="F138" t="s">
        <v>65</v>
      </c>
      <c r="G138" t="s">
        <v>139</v>
      </c>
      <c r="H138" t="s">
        <v>65</v>
      </c>
      <c r="I138">
        <v>11990</v>
      </c>
      <c r="J138">
        <v>10791</v>
      </c>
      <c r="K138">
        <v>1199</v>
      </c>
      <c r="L138">
        <v>10</v>
      </c>
      <c r="M138" t="s">
        <v>94</v>
      </c>
      <c r="N138" t="s">
        <v>95</v>
      </c>
      <c r="Q138">
        <v>46265</v>
      </c>
    </row>
    <row r="139" spans="1:17">
      <c r="A139" t="s">
        <v>477</v>
      </c>
      <c r="B139">
        <v>46265</v>
      </c>
      <c r="C139" t="s">
        <v>58</v>
      </c>
      <c r="D139" t="s">
        <v>447</v>
      </c>
      <c r="E139" t="s">
        <v>478</v>
      </c>
      <c r="F139" t="s">
        <v>65</v>
      </c>
      <c r="G139" t="s">
        <v>139</v>
      </c>
      <c r="H139" t="s">
        <v>65</v>
      </c>
      <c r="I139">
        <v>21990</v>
      </c>
      <c r="J139">
        <v>19791</v>
      </c>
      <c r="K139">
        <v>2199</v>
      </c>
      <c r="L139">
        <v>10</v>
      </c>
      <c r="M139" t="s">
        <v>94</v>
      </c>
      <c r="N139" t="s">
        <v>95</v>
      </c>
      <c r="Q139">
        <v>46265</v>
      </c>
    </row>
    <row r="140" spans="1:17">
      <c r="A140" t="s">
        <v>479</v>
      </c>
      <c r="B140">
        <v>46265</v>
      </c>
      <c r="C140" t="s">
        <v>58</v>
      </c>
      <c r="D140" t="s">
        <v>456</v>
      </c>
      <c r="E140" t="s">
        <v>480</v>
      </c>
      <c r="F140" t="s">
        <v>65</v>
      </c>
      <c r="G140" t="s">
        <v>126</v>
      </c>
      <c r="H140" t="s">
        <v>65</v>
      </c>
      <c r="I140">
        <v>23990</v>
      </c>
      <c r="J140">
        <v>21591</v>
      </c>
      <c r="K140">
        <v>2399</v>
      </c>
      <c r="L140">
        <v>10</v>
      </c>
      <c r="M140" t="s">
        <v>94</v>
      </c>
      <c r="N140" t="s">
        <v>95</v>
      </c>
      <c r="Q140">
        <v>46265</v>
      </c>
    </row>
    <row r="141" spans="1:17">
      <c r="A141" t="s">
        <v>481</v>
      </c>
      <c r="B141">
        <v>46265</v>
      </c>
      <c r="C141" t="s">
        <v>58</v>
      </c>
      <c r="D141" t="s">
        <v>456</v>
      </c>
      <c r="E141" t="s">
        <v>482</v>
      </c>
      <c r="F141" t="s">
        <v>65</v>
      </c>
      <c r="G141" t="s">
        <v>126</v>
      </c>
      <c r="H141" t="s">
        <v>65</v>
      </c>
      <c r="I141">
        <v>23990</v>
      </c>
      <c r="J141">
        <v>21591</v>
      </c>
      <c r="K141">
        <v>2399</v>
      </c>
      <c r="L141">
        <v>10</v>
      </c>
      <c r="M141" t="s">
        <v>94</v>
      </c>
      <c r="N141" t="s">
        <v>95</v>
      </c>
      <c r="Q141">
        <v>46265</v>
      </c>
    </row>
    <row r="142" spans="1:17">
      <c r="A142" t="s">
        <v>483</v>
      </c>
      <c r="B142">
        <v>46265</v>
      </c>
      <c r="C142" t="s">
        <v>58</v>
      </c>
      <c r="D142" t="s">
        <v>447</v>
      </c>
      <c r="E142" t="s">
        <v>484</v>
      </c>
      <c r="F142" t="s">
        <v>65</v>
      </c>
      <c r="G142" t="s">
        <v>139</v>
      </c>
      <c r="H142" t="s">
        <v>65</v>
      </c>
      <c r="I142">
        <v>29990</v>
      </c>
      <c r="J142">
        <v>29990</v>
      </c>
      <c r="K142">
        <v>0</v>
      </c>
      <c r="L142">
        <v>0</v>
      </c>
      <c r="M142" t="s">
        <v>94</v>
      </c>
      <c r="N142" t="s">
        <v>95</v>
      </c>
      <c r="Q142">
        <v>46265</v>
      </c>
    </row>
    <row r="143" spans="1:17">
      <c r="A143" t="s">
        <v>485</v>
      </c>
      <c r="B143">
        <v>46265</v>
      </c>
      <c r="C143" t="s">
        <v>58</v>
      </c>
      <c r="D143" t="s">
        <v>447</v>
      </c>
      <c r="E143" t="s">
        <v>486</v>
      </c>
      <c r="F143" t="s">
        <v>65</v>
      </c>
      <c r="G143" t="s">
        <v>139</v>
      </c>
      <c r="H143" t="s">
        <v>65</v>
      </c>
      <c r="I143">
        <v>30790</v>
      </c>
      <c r="J143">
        <v>30790</v>
      </c>
      <c r="K143">
        <v>0</v>
      </c>
      <c r="L143">
        <v>0</v>
      </c>
      <c r="M143" t="s">
        <v>94</v>
      </c>
      <c r="N143" t="s">
        <v>95</v>
      </c>
      <c r="Q143">
        <v>46265</v>
      </c>
    </row>
    <row r="144" spans="1:17">
      <c r="A144" t="s">
        <v>487</v>
      </c>
      <c r="B144">
        <v>46265</v>
      </c>
      <c r="C144" t="s">
        <v>58</v>
      </c>
      <c r="D144" t="s">
        <v>447</v>
      </c>
      <c r="E144" t="s">
        <v>488</v>
      </c>
      <c r="F144" t="s">
        <v>65</v>
      </c>
      <c r="G144" t="s">
        <v>139</v>
      </c>
      <c r="H144" t="s">
        <v>65</v>
      </c>
      <c r="I144">
        <v>30790</v>
      </c>
      <c r="J144">
        <v>30790</v>
      </c>
      <c r="K144">
        <v>0</v>
      </c>
      <c r="L144">
        <v>0</v>
      </c>
      <c r="M144" t="s">
        <v>94</v>
      </c>
      <c r="N144" t="s">
        <v>95</v>
      </c>
      <c r="Q144">
        <v>46265</v>
      </c>
    </row>
    <row r="145" spans="1:17">
      <c r="A145" t="s">
        <v>489</v>
      </c>
      <c r="B145">
        <v>46265</v>
      </c>
      <c r="C145" t="s">
        <v>58</v>
      </c>
      <c r="D145" t="s">
        <v>490</v>
      </c>
      <c r="E145" t="s">
        <v>491</v>
      </c>
      <c r="F145" t="s">
        <v>65</v>
      </c>
      <c r="G145" t="s">
        <v>139</v>
      </c>
      <c r="H145" t="s">
        <v>65</v>
      </c>
      <c r="I145">
        <v>29990</v>
      </c>
      <c r="J145">
        <v>29990</v>
      </c>
      <c r="K145">
        <v>0</v>
      </c>
      <c r="L145">
        <v>0</v>
      </c>
      <c r="M145" t="s">
        <v>94</v>
      </c>
      <c r="N145" t="s">
        <v>95</v>
      </c>
      <c r="Q145">
        <v>46265</v>
      </c>
    </row>
    <row r="146" spans="1:17">
      <c r="A146" t="s">
        <v>492</v>
      </c>
      <c r="B146">
        <v>46265</v>
      </c>
      <c r="C146" t="s">
        <v>58</v>
      </c>
      <c r="D146" t="s">
        <v>490</v>
      </c>
      <c r="E146" t="s">
        <v>493</v>
      </c>
      <c r="F146" t="s">
        <v>65</v>
      </c>
      <c r="G146" t="s">
        <v>139</v>
      </c>
      <c r="H146" t="s">
        <v>65</v>
      </c>
      <c r="I146">
        <v>27990</v>
      </c>
      <c r="J146">
        <v>27990</v>
      </c>
      <c r="K146">
        <v>0</v>
      </c>
      <c r="L146">
        <v>0</v>
      </c>
      <c r="M146" t="s">
        <v>94</v>
      </c>
      <c r="N146" t="s">
        <v>95</v>
      </c>
      <c r="Q146">
        <v>46265</v>
      </c>
    </row>
    <row r="147" spans="1:17">
      <c r="A147" t="s">
        <v>494</v>
      </c>
      <c r="B147">
        <v>46265</v>
      </c>
      <c r="C147" t="s">
        <v>58</v>
      </c>
      <c r="D147" t="s">
        <v>447</v>
      </c>
      <c r="E147" t="s">
        <v>495</v>
      </c>
      <c r="F147" t="s">
        <v>65</v>
      </c>
      <c r="G147" t="s">
        <v>139</v>
      </c>
      <c r="H147" t="s">
        <v>65</v>
      </c>
      <c r="I147">
        <v>29990</v>
      </c>
      <c r="J147">
        <v>29990</v>
      </c>
      <c r="K147">
        <v>0</v>
      </c>
      <c r="L147">
        <v>0</v>
      </c>
      <c r="M147" t="s">
        <v>94</v>
      </c>
      <c r="N147" t="s">
        <v>95</v>
      </c>
      <c r="Q147">
        <v>46265</v>
      </c>
    </row>
    <row r="148" spans="1:17">
      <c r="A148" t="s">
        <v>496</v>
      </c>
      <c r="B148">
        <v>46265</v>
      </c>
      <c r="C148" t="s">
        <v>58</v>
      </c>
      <c r="D148" t="s">
        <v>447</v>
      </c>
      <c r="E148" t="s">
        <v>497</v>
      </c>
      <c r="F148" t="s">
        <v>65</v>
      </c>
      <c r="G148" t="s">
        <v>139</v>
      </c>
      <c r="H148" t="s">
        <v>65</v>
      </c>
      <c r="I148">
        <v>29990</v>
      </c>
      <c r="J148">
        <v>29990</v>
      </c>
      <c r="K148">
        <v>0</v>
      </c>
      <c r="L148">
        <v>0</v>
      </c>
      <c r="M148" t="s">
        <v>94</v>
      </c>
      <c r="N148" t="s">
        <v>95</v>
      </c>
      <c r="Q148">
        <v>46265</v>
      </c>
    </row>
    <row r="149" spans="1:17">
      <c r="A149" t="s">
        <v>498</v>
      </c>
      <c r="B149">
        <v>46265</v>
      </c>
      <c r="C149" t="s">
        <v>58</v>
      </c>
      <c r="D149" t="s">
        <v>447</v>
      </c>
      <c r="E149" t="s">
        <v>499</v>
      </c>
      <c r="F149" t="s">
        <v>65</v>
      </c>
      <c r="G149" t="s">
        <v>139</v>
      </c>
      <c r="H149" t="s">
        <v>65</v>
      </c>
      <c r="I149">
        <v>29990</v>
      </c>
      <c r="J149">
        <v>29990</v>
      </c>
      <c r="K149">
        <v>0</v>
      </c>
      <c r="L149">
        <v>0</v>
      </c>
      <c r="M149" t="s">
        <v>94</v>
      </c>
      <c r="N149" t="s">
        <v>95</v>
      </c>
      <c r="Q149">
        <v>46265</v>
      </c>
    </row>
    <row r="150" spans="1:17">
      <c r="A150" t="s">
        <v>500</v>
      </c>
      <c r="B150">
        <v>46265</v>
      </c>
      <c r="C150" t="s">
        <v>58</v>
      </c>
      <c r="D150" t="s">
        <v>447</v>
      </c>
      <c r="E150" t="s">
        <v>501</v>
      </c>
      <c r="F150" t="s">
        <v>65</v>
      </c>
      <c r="G150" t="s">
        <v>139</v>
      </c>
      <c r="H150" t="s">
        <v>65</v>
      </c>
      <c r="I150">
        <v>31490</v>
      </c>
      <c r="J150">
        <v>31490</v>
      </c>
      <c r="K150">
        <v>0</v>
      </c>
      <c r="L150">
        <v>0</v>
      </c>
      <c r="M150" t="s">
        <v>94</v>
      </c>
      <c r="N150" t="s">
        <v>95</v>
      </c>
      <c r="Q150">
        <v>46265</v>
      </c>
    </row>
    <row r="151" spans="1:17">
      <c r="A151" t="s">
        <v>502</v>
      </c>
      <c r="B151">
        <v>46265</v>
      </c>
      <c r="C151" t="s">
        <v>58</v>
      </c>
      <c r="D151" t="s">
        <v>490</v>
      </c>
      <c r="E151" t="s">
        <v>503</v>
      </c>
      <c r="F151" t="s">
        <v>65</v>
      </c>
      <c r="G151" t="s">
        <v>139</v>
      </c>
      <c r="H151" t="s">
        <v>65</v>
      </c>
      <c r="I151">
        <v>29990</v>
      </c>
      <c r="J151">
        <v>29990</v>
      </c>
      <c r="K151">
        <v>0</v>
      </c>
      <c r="L151">
        <v>0</v>
      </c>
      <c r="M151" t="s">
        <v>94</v>
      </c>
      <c r="N151" t="s">
        <v>95</v>
      </c>
      <c r="Q151">
        <v>46265</v>
      </c>
    </row>
    <row r="152" spans="1:17">
      <c r="A152" t="s">
        <v>504</v>
      </c>
      <c r="B152">
        <v>46265</v>
      </c>
      <c r="C152" t="s">
        <v>58</v>
      </c>
      <c r="D152" t="s">
        <v>469</v>
      </c>
      <c r="E152" t="s">
        <v>505</v>
      </c>
      <c r="F152" t="s">
        <v>63</v>
      </c>
      <c r="G152" t="s">
        <v>139</v>
      </c>
      <c r="H152" t="s">
        <v>63</v>
      </c>
      <c r="I152">
        <v>17990</v>
      </c>
      <c r="J152">
        <v>17990</v>
      </c>
      <c r="K152">
        <v>0</v>
      </c>
      <c r="L152">
        <v>0</v>
      </c>
      <c r="M152" t="s">
        <v>94</v>
      </c>
      <c r="N152" t="s">
        <v>95</v>
      </c>
      <c r="Q152">
        <v>46265</v>
      </c>
    </row>
    <row r="153" spans="1:17">
      <c r="A153" t="s">
        <v>506</v>
      </c>
      <c r="B153">
        <v>46265</v>
      </c>
      <c r="C153" t="s">
        <v>58</v>
      </c>
      <c r="D153" t="s">
        <v>451</v>
      </c>
      <c r="E153" t="s">
        <v>507</v>
      </c>
      <c r="F153" t="s">
        <v>63</v>
      </c>
      <c r="G153" t="s">
        <v>139</v>
      </c>
      <c r="H153" t="s">
        <v>63</v>
      </c>
      <c r="I153">
        <v>25990</v>
      </c>
      <c r="J153">
        <v>25990</v>
      </c>
      <c r="K153">
        <v>0</v>
      </c>
      <c r="L153">
        <v>0</v>
      </c>
      <c r="M153" t="s">
        <v>94</v>
      </c>
      <c r="N153" t="s">
        <v>95</v>
      </c>
      <c r="Q153">
        <v>46265</v>
      </c>
    </row>
    <row r="154" spans="1:17">
      <c r="A154" t="s">
        <v>508</v>
      </c>
      <c r="B154">
        <v>46265</v>
      </c>
      <c r="C154" t="s">
        <v>58</v>
      </c>
      <c r="D154" t="s">
        <v>509</v>
      </c>
      <c r="E154" t="s">
        <v>510</v>
      </c>
      <c r="F154" t="s">
        <v>63</v>
      </c>
      <c r="G154" t="s">
        <v>126</v>
      </c>
      <c r="H154" t="s">
        <v>63</v>
      </c>
      <c r="I154">
        <v>17990</v>
      </c>
      <c r="J154">
        <v>17990</v>
      </c>
      <c r="K154">
        <v>0</v>
      </c>
      <c r="L154">
        <v>0</v>
      </c>
      <c r="M154" t="s">
        <v>94</v>
      </c>
      <c r="N154" t="s">
        <v>95</v>
      </c>
      <c r="Q154">
        <v>46265</v>
      </c>
    </row>
    <row r="155" spans="1:17">
      <c r="A155" t="s">
        <v>511</v>
      </c>
      <c r="B155">
        <v>46265</v>
      </c>
      <c r="C155" t="s">
        <v>58</v>
      </c>
      <c r="D155" t="s">
        <v>451</v>
      </c>
      <c r="E155" t="s">
        <v>512</v>
      </c>
      <c r="F155" t="s">
        <v>63</v>
      </c>
      <c r="G155" t="s">
        <v>139</v>
      </c>
      <c r="H155" t="s">
        <v>63</v>
      </c>
      <c r="I155">
        <v>26990</v>
      </c>
      <c r="J155">
        <v>26990</v>
      </c>
      <c r="K155">
        <v>0</v>
      </c>
      <c r="L155">
        <v>0</v>
      </c>
      <c r="M155" t="s">
        <v>94</v>
      </c>
      <c r="N155" t="s">
        <v>95</v>
      </c>
      <c r="Q155">
        <v>46265</v>
      </c>
    </row>
    <row r="156" spans="1:17">
      <c r="A156" t="s">
        <v>513</v>
      </c>
      <c r="B156">
        <v>46265</v>
      </c>
      <c r="C156" t="s">
        <v>58</v>
      </c>
      <c r="D156" t="s">
        <v>447</v>
      </c>
      <c r="E156" t="s">
        <v>514</v>
      </c>
      <c r="F156" t="s">
        <v>63</v>
      </c>
      <c r="G156" t="s">
        <v>139</v>
      </c>
      <c r="H156" t="s">
        <v>63</v>
      </c>
      <c r="I156">
        <v>22990</v>
      </c>
      <c r="J156">
        <v>22990</v>
      </c>
      <c r="K156">
        <v>0</v>
      </c>
      <c r="L156">
        <v>0</v>
      </c>
      <c r="M156" t="s">
        <v>94</v>
      </c>
      <c r="N156" t="s">
        <v>95</v>
      </c>
      <c r="Q156">
        <v>46265</v>
      </c>
    </row>
    <row r="157" spans="1:17">
      <c r="A157" t="s">
        <v>515</v>
      </c>
      <c r="B157">
        <v>46265</v>
      </c>
      <c r="C157" t="s">
        <v>58</v>
      </c>
      <c r="D157" t="s">
        <v>516</v>
      </c>
      <c r="E157" t="s">
        <v>517</v>
      </c>
      <c r="F157" t="s">
        <v>63</v>
      </c>
      <c r="G157" t="s">
        <v>139</v>
      </c>
      <c r="H157" t="s">
        <v>63</v>
      </c>
      <c r="I157">
        <v>17990</v>
      </c>
      <c r="J157">
        <v>17990</v>
      </c>
      <c r="K157">
        <v>0</v>
      </c>
      <c r="L157">
        <v>0</v>
      </c>
      <c r="M157" t="s">
        <v>94</v>
      </c>
      <c r="N157" t="s">
        <v>95</v>
      </c>
      <c r="Q157">
        <v>46265</v>
      </c>
    </row>
    <row r="158" spans="1:17">
      <c r="A158" t="s">
        <v>518</v>
      </c>
      <c r="B158">
        <v>46265</v>
      </c>
      <c r="C158" t="s">
        <v>58</v>
      </c>
      <c r="D158" t="s">
        <v>447</v>
      </c>
      <c r="E158" t="s">
        <v>519</v>
      </c>
      <c r="F158" t="s">
        <v>63</v>
      </c>
      <c r="G158" t="s">
        <v>139</v>
      </c>
      <c r="H158" t="s">
        <v>63</v>
      </c>
      <c r="I158">
        <v>27990</v>
      </c>
      <c r="J158">
        <v>27990</v>
      </c>
      <c r="K158">
        <v>0</v>
      </c>
      <c r="L158">
        <v>0</v>
      </c>
      <c r="M158" t="s">
        <v>94</v>
      </c>
      <c r="N158" t="s">
        <v>95</v>
      </c>
      <c r="Q158">
        <v>46265</v>
      </c>
    </row>
    <row r="159" spans="1:17">
      <c r="A159" t="s">
        <v>520</v>
      </c>
      <c r="B159">
        <v>46265</v>
      </c>
      <c r="C159" t="s">
        <v>58</v>
      </c>
      <c r="D159" t="s">
        <v>521</v>
      </c>
      <c r="E159" t="s">
        <v>522</v>
      </c>
      <c r="F159" t="s">
        <v>63</v>
      </c>
      <c r="G159" t="s">
        <v>139</v>
      </c>
      <c r="H159" t="s">
        <v>63</v>
      </c>
      <c r="I159">
        <v>23990</v>
      </c>
      <c r="J159">
        <v>23990</v>
      </c>
      <c r="K159">
        <v>0</v>
      </c>
      <c r="L159">
        <v>0</v>
      </c>
      <c r="M159" t="s">
        <v>94</v>
      </c>
      <c r="N159" t="s">
        <v>95</v>
      </c>
      <c r="Q159">
        <v>46265</v>
      </c>
    </row>
    <row r="160" spans="1:17">
      <c r="A160" t="s">
        <v>523</v>
      </c>
      <c r="B160">
        <v>46265</v>
      </c>
      <c r="C160" t="s">
        <v>58</v>
      </c>
      <c r="D160" t="s">
        <v>447</v>
      </c>
      <c r="E160" t="s">
        <v>524</v>
      </c>
      <c r="F160" t="s">
        <v>63</v>
      </c>
      <c r="G160" t="s">
        <v>139</v>
      </c>
      <c r="H160" t="s">
        <v>63</v>
      </c>
      <c r="I160">
        <v>20990</v>
      </c>
      <c r="J160">
        <v>20990</v>
      </c>
      <c r="K160">
        <v>0</v>
      </c>
      <c r="L160">
        <v>0</v>
      </c>
      <c r="M160" t="s">
        <v>94</v>
      </c>
      <c r="N160" t="s">
        <v>95</v>
      </c>
      <c r="Q160">
        <v>46265</v>
      </c>
    </row>
    <row r="161" spans="1:17">
      <c r="A161" t="s">
        <v>525</v>
      </c>
      <c r="B161">
        <v>46265</v>
      </c>
      <c r="C161" t="s">
        <v>58</v>
      </c>
      <c r="D161" t="s">
        <v>447</v>
      </c>
      <c r="E161" t="s">
        <v>526</v>
      </c>
      <c r="F161" t="s">
        <v>63</v>
      </c>
      <c r="G161" t="s">
        <v>139</v>
      </c>
      <c r="H161" t="s">
        <v>63</v>
      </c>
      <c r="I161">
        <v>27990</v>
      </c>
      <c r="J161">
        <v>27990</v>
      </c>
      <c r="K161">
        <v>0</v>
      </c>
      <c r="L161">
        <v>0</v>
      </c>
      <c r="M161" t="s">
        <v>94</v>
      </c>
      <c r="N161" t="s">
        <v>95</v>
      </c>
      <c r="Q161">
        <v>46265</v>
      </c>
    </row>
    <row r="162" spans="1:17">
      <c r="A162" t="s">
        <v>527</v>
      </c>
      <c r="B162">
        <v>46265</v>
      </c>
      <c r="C162" t="s">
        <v>58</v>
      </c>
      <c r="D162" t="s">
        <v>447</v>
      </c>
      <c r="E162" t="s">
        <v>528</v>
      </c>
      <c r="F162" t="s">
        <v>63</v>
      </c>
      <c r="G162" t="s">
        <v>139</v>
      </c>
      <c r="H162" t="s">
        <v>63</v>
      </c>
      <c r="I162">
        <v>29990</v>
      </c>
      <c r="J162">
        <v>29990</v>
      </c>
      <c r="K162">
        <v>0</v>
      </c>
      <c r="L162">
        <v>0</v>
      </c>
      <c r="M162" t="s">
        <v>94</v>
      </c>
      <c r="N162" t="s">
        <v>95</v>
      </c>
      <c r="Q162">
        <v>46265</v>
      </c>
    </row>
    <row r="163" spans="1:17">
      <c r="A163" t="s">
        <v>529</v>
      </c>
      <c r="B163">
        <v>46265</v>
      </c>
      <c r="C163" t="s">
        <v>58</v>
      </c>
      <c r="D163" t="s">
        <v>521</v>
      </c>
      <c r="E163" t="s">
        <v>530</v>
      </c>
      <c r="F163" t="s">
        <v>63</v>
      </c>
      <c r="G163" t="s">
        <v>139</v>
      </c>
      <c r="H163" t="s">
        <v>63</v>
      </c>
      <c r="I163">
        <v>23990</v>
      </c>
      <c r="J163">
        <v>23990</v>
      </c>
      <c r="K163">
        <v>0</v>
      </c>
      <c r="L163">
        <v>0</v>
      </c>
      <c r="M163" t="s">
        <v>94</v>
      </c>
      <c r="N163" t="s">
        <v>95</v>
      </c>
      <c r="Q163">
        <v>46265</v>
      </c>
    </row>
    <row r="164" spans="1:17">
      <c r="A164" t="s">
        <v>531</v>
      </c>
      <c r="B164">
        <v>46265</v>
      </c>
      <c r="C164" t="s">
        <v>58</v>
      </c>
      <c r="D164" t="s">
        <v>532</v>
      </c>
      <c r="E164" t="s">
        <v>533</v>
      </c>
      <c r="F164" t="s">
        <v>63</v>
      </c>
      <c r="G164" t="s">
        <v>139</v>
      </c>
      <c r="H164" t="s">
        <v>63</v>
      </c>
      <c r="I164">
        <v>22990</v>
      </c>
      <c r="J164">
        <v>22990</v>
      </c>
      <c r="K164">
        <v>0</v>
      </c>
      <c r="L164">
        <v>0</v>
      </c>
      <c r="M164" t="s">
        <v>94</v>
      </c>
      <c r="N164" t="s">
        <v>95</v>
      </c>
      <c r="Q164">
        <v>46265</v>
      </c>
    </row>
    <row r="165" spans="1:17">
      <c r="A165" t="s">
        <v>534</v>
      </c>
      <c r="B165">
        <v>46265</v>
      </c>
      <c r="C165" t="s">
        <v>58</v>
      </c>
      <c r="D165" t="s">
        <v>447</v>
      </c>
      <c r="E165" t="s">
        <v>535</v>
      </c>
      <c r="F165" t="s">
        <v>63</v>
      </c>
      <c r="G165" t="s">
        <v>139</v>
      </c>
      <c r="H165" t="s">
        <v>63</v>
      </c>
      <c r="I165">
        <v>20990</v>
      </c>
      <c r="J165">
        <v>20990</v>
      </c>
      <c r="K165">
        <v>0</v>
      </c>
      <c r="L165">
        <v>0</v>
      </c>
      <c r="M165" t="s">
        <v>94</v>
      </c>
      <c r="N165" t="s">
        <v>95</v>
      </c>
      <c r="Q165">
        <v>46265</v>
      </c>
    </row>
    <row r="166" spans="1:17">
      <c r="A166" t="s">
        <v>536</v>
      </c>
      <c r="B166">
        <v>46265</v>
      </c>
      <c r="C166" t="s">
        <v>58</v>
      </c>
      <c r="D166" t="s">
        <v>447</v>
      </c>
      <c r="E166" t="s">
        <v>537</v>
      </c>
      <c r="F166" t="s">
        <v>63</v>
      </c>
      <c r="G166" t="s">
        <v>139</v>
      </c>
      <c r="H166" t="s">
        <v>63</v>
      </c>
      <c r="I166">
        <v>20990</v>
      </c>
      <c r="J166">
        <v>20990</v>
      </c>
      <c r="K166">
        <v>0</v>
      </c>
      <c r="L166">
        <v>0</v>
      </c>
      <c r="M166" t="s">
        <v>94</v>
      </c>
      <c r="N166" t="s">
        <v>95</v>
      </c>
      <c r="Q166">
        <v>46265</v>
      </c>
    </row>
    <row r="167" spans="1:17">
      <c r="A167" t="s">
        <v>538</v>
      </c>
      <c r="B167">
        <v>46265</v>
      </c>
      <c r="C167" t="s">
        <v>58</v>
      </c>
      <c r="D167" t="s">
        <v>539</v>
      </c>
      <c r="E167" t="s">
        <v>540</v>
      </c>
      <c r="F167" t="s">
        <v>63</v>
      </c>
      <c r="G167" t="s">
        <v>126</v>
      </c>
      <c r="H167" t="s">
        <v>63</v>
      </c>
      <c r="I167">
        <v>8490</v>
      </c>
      <c r="J167">
        <v>8490</v>
      </c>
      <c r="K167">
        <v>0</v>
      </c>
      <c r="L167">
        <v>0</v>
      </c>
      <c r="M167" t="s">
        <v>94</v>
      </c>
      <c r="N167" t="s">
        <v>95</v>
      </c>
      <c r="Q167">
        <v>46265</v>
      </c>
    </row>
    <row r="168" spans="1:17">
      <c r="A168" t="s">
        <v>541</v>
      </c>
      <c r="B168">
        <v>46265</v>
      </c>
      <c r="C168" t="s">
        <v>58</v>
      </c>
      <c r="D168" t="s">
        <v>539</v>
      </c>
      <c r="E168" t="s">
        <v>542</v>
      </c>
      <c r="F168" t="s">
        <v>63</v>
      </c>
      <c r="G168" t="s">
        <v>126</v>
      </c>
      <c r="H168" t="s">
        <v>63</v>
      </c>
      <c r="I168">
        <v>8490</v>
      </c>
      <c r="J168">
        <v>8490</v>
      </c>
      <c r="K168">
        <v>0</v>
      </c>
      <c r="L168">
        <v>0</v>
      </c>
      <c r="M168" t="s">
        <v>94</v>
      </c>
      <c r="N168" t="s">
        <v>95</v>
      </c>
      <c r="Q168">
        <v>46265</v>
      </c>
    </row>
    <row r="169" spans="1:17">
      <c r="A169" t="s">
        <v>543</v>
      </c>
      <c r="B169">
        <v>46265</v>
      </c>
      <c r="C169" t="s">
        <v>58</v>
      </c>
      <c r="D169" t="s">
        <v>469</v>
      </c>
      <c r="E169" t="s">
        <v>544</v>
      </c>
      <c r="F169" t="s">
        <v>63</v>
      </c>
      <c r="G169" t="s">
        <v>139</v>
      </c>
      <c r="H169" t="s">
        <v>63</v>
      </c>
      <c r="I169">
        <v>9490</v>
      </c>
      <c r="J169">
        <v>9490</v>
      </c>
      <c r="K169">
        <v>0</v>
      </c>
      <c r="L169">
        <v>0</v>
      </c>
      <c r="M169" t="s">
        <v>94</v>
      </c>
      <c r="N169" t="s">
        <v>95</v>
      </c>
      <c r="Q169">
        <v>46265</v>
      </c>
    </row>
    <row r="170" spans="1:17">
      <c r="A170" t="s">
        <v>545</v>
      </c>
      <c r="B170">
        <v>46265</v>
      </c>
      <c r="C170" t="s">
        <v>58</v>
      </c>
      <c r="D170" t="s">
        <v>469</v>
      </c>
      <c r="E170" t="s">
        <v>546</v>
      </c>
      <c r="F170" t="s">
        <v>63</v>
      </c>
      <c r="G170" t="s">
        <v>139</v>
      </c>
      <c r="H170" t="s">
        <v>63</v>
      </c>
      <c r="I170">
        <v>9490</v>
      </c>
      <c r="J170">
        <v>9490</v>
      </c>
      <c r="K170">
        <v>0</v>
      </c>
      <c r="L170">
        <v>0</v>
      </c>
      <c r="M170" t="s">
        <v>94</v>
      </c>
      <c r="N170" t="s">
        <v>95</v>
      </c>
      <c r="Q170">
        <v>46265</v>
      </c>
    </row>
    <row r="171" spans="1:17">
      <c r="A171" t="s">
        <v>547</v>
      </c>
      <c r="B171">
        <v>46265</v>
      </c>
      <c r="C171" t="s">
        <v>58</v>
      </c>
      <c r="D171" t="s">
        <v>469</v>
      </c>
      <c r="E171" t="s">
        <v>548</v>
      </c>
      <c r="F171" t="s">
        <v>63</v>
      </c>
      <c r="G171" t="s">
        <v>139</v>
      </c>
      <c r="H171" t="s">
        <v>63</v>
      </c>
      <c r="I171">
        <v>9490</v>
      </c>
      <c r="J171">
        <v>9490</v>
      </c>
      <c r="K171">
        <v>0</v>
      </c>
      <c r="L171">
        <v>0</v>
      </c>
      <c r="M171" t="s">
        <v>94</v>
      </c>
      <c r="N171" t="s">
        <v>95</v>
      </c>
      <c r="Q171">
        <v>46265</v>
      </c>
    </row>
    <row r="172" spans="1:17">
      <c r="A172" t="s">
        <v>549</v>
      </c>
      <c r="B172">
        <v>46265</v>
      </c>
      <c r="C172" t="s">
        <v>58</v>
      </c>
      <c r="D172" t="s">
        <v>469</v>
      </c>
      <c r="E172" t="s">
        <v>550</v>
      </c>
      <c r="F172" t="s">
        <v>63</v>
      </c>
      <c r="G172" t="s">
        <v>139</v>
      </c>
      <c r="H172" t="s">
        <v>63</v>
      </c>
      <c r="I172">
        <v>9490</v>
      </c>
      <c r="J172">
        <v>9490</v>
      </c>
      <c r="K172">
        <v>0</v>
      </c>
      <c r="L172">
        <v>0</v>
      </c>
      <c r="M172" t="s">
        <v>94</v>
      </c>
      <c r="N172" t="s">
        <v>95</v>
      </c>
      <c r="Q172">
        <v>46265</v>
      </c>
    </row>
    <row r="173" spans="1:17">
      <c r="A173" t="s">
        <v>551</v>
      </c>
      <c r="B173">
        <v>46265</v>
      </c>
      <c r="C173" t="s">
        <v>58</v>
      </c>
      <c r="D173" t="s">
        <v>552</v>
      </c>
      <c r="E173" t="s">
        <v>553</v>
      </c>
      <c r="F173" t="s">
        <v>63</v>
      </c>
      <c r="G173" t="s">
        <v>139</v>
      </c>
      <c r="H173" t="s">
        <v>63</v>
      </c>
      <c r="I173">
        <v>28490</v>
      </c>
      <c r="J173">
        <v>28490</v>
      </c>
      <c r="K173">
        <v>0</v>
      </c>
      <c r="L173">
        <v>0</v>
      </c>
      <c r="M173" t="s">
        <v>94</v>
      </c>
      <c r="N173" t="s">
        <v>95</v>
      </c>
      <c r="Q173">
        <v>46265</v>
      </c>
    </row>
    <row r="174" spans="1:17">
      <c r="A174" t="s">
        <v>554</v>
      </c>
      <c r="B174">
        <v>46265</v>
      </c>
      <c r="C174" t="s">
        <v>58</v>
      </c>
      <c r="D174" t="s">
        <v>555</v>
      </c>
      <c r="E174" t="s">
        <v>556</v>
      </c>
      <c r="F174" t="s">
        <v>63</v>
      </c>
      <c r="G174" t="s">
        <v>139</v>
      </c>
      <c r="H174" t="s">
        <v>63</v>
      </c>
      <c r="I174">
        <v>21990</v>
      </c>
      <c r="J174">
        <v>21990</v>
      </c>
      <c r="K174">
        <v>0</v>
      </c>
      <c r="L174">
        <v>0</v>
      </c>
      <c r="M174" t="s">
        <v>94</v>
      </c>
      <c r="N174" t="s">
        <v>95</v>
      </c>
      <c r="Q174">
        <v>46265</v>
      </c>
    </row>
    <row r="175" spans="1:17">
      <c r="A175" t="s">
        <v>557</v>
      </c>
      <c r="B175">
        <v>46265</v>
      </c>
      <c r="C175" t="s">
        <v>58</v>
      </c>
      <c r="D175" t="s">
        <v>447</v>
      </c>
      <c r="E175" t="s">
        <v>558</v>
      </c>
      <c r="F175" t="s">
        <v>63</v>
      </c>
      <c r="G175" t="s">
        <v>139</v>
      </c>
      <c r="H175" t="s">
        <v>63</v>
      </c>
      <c r="I175">
        <v>24990</v>
      </c>
      <c r="J175">
        <v>24990</v>
      </c>
      <c r="K175">
        <v>0</v>
      </c>
      <c r="L175">
        <v>0</v>
      </c>
      <c r="M175" t="s">
        <v>94</v>
      </c>
      <c r="N175" t="s">
        <v>95</v>
      </c>
      <c r="Q175">
        <v>46265</v>
      </c>
    </row>
    <row r="176" spans="1:17">
      <c r="A176" t="s">
        <v>559</v>
      </c>
      <c r="B176">
        <v>46265</v>
      </c>
      <c r="C176" t="s">
        <v>58</v>
      </c>
      <c r="D176" t="s">
        <v>447</v>
      </c>
      <c r="E176" t="s">
        <v>560</v>
      </c>
      <c r="F176" t="s">
        <v>63</v>
      </c>
      <c r="G176" t="s">
        <v>139</v>
      </c>
      <c r="H176" t="s">
        <v>63</v>
      </c>
      <c r="I176">
        <v>26990</v>
      </c>
      <c r="J176">
        <v>26990</v>
      </c>
      <c r="K176">
        <v>0</v>
      </c>
      <c r="L176">
        <v>0</v>
      </c>
      <c r="M176" t="s">
        <v>94</v>
      </c>
      <c r="N176" t="s">
        <v>95</v>
      </c>
      <c r="Q176">
        <v>46265</v>
      </c>
    </row>
    <row r="177" spans="1:17">
      <c r="A177" t="s">
        <v>561</v>
      </c>
      <c r="B177">
        <v>46265</v>
      </c>
      <c r="C177" t="s">
        <v>58</v>
      </c>
      <c r="D177" t="s">
        <v>562</v>
      </c>
      <c r="E177" t="s">
        <v>563</v>
      </c>
      <c r="F177" t="s">
        <v>59</v>
      </c>
      <c r="G177" t="s">
        <v>139</v>
      </c>
      <c r="H177" t="s">
        <v>564</v>
      </c>
      <c r="I177">
        <v>45990</v>
      </c>
      <c r="J177">
        <v>45990</v>
      </c>
      <c r="K177">
        <v>0</v>
      </c>
      <c r="L177">
        <v>0</v>
      </c>
      <c r="M177" t="s">
        <v>94</v>
      </c>
      <c r="N177" t="s">
        <v>95</v>
      </c>
      <c r="Q177">
        <v>46265</v>
      </c>
    </row>
    <row r="178" spans="1:17">
      <c r="A178" t="s">
        <v>565</v>
      </c>
      <c r="B178">
        <v>46265</v>
      </c>
      <c r="C178" t="s">
        <v>58</v>
      </c>
      <c r="D178" t="s">
        <v>566</v>
      </c>
      <c r="E178" t="s">
        <v>567</v>
      </c>
      <c r="F178" t="s">
        <v>59</v>
      </c>
      <c r="G178" t="s">
        <v>139</v>
      </c>
      <c r="H178" t="s">
        <v>564</v>
      </c>
      <c r="I178">
        <v>47990</v>
      </c>
      <c r="J178">
        <v>47990</v>
      </c>
      <c r="K178">
        <v>0</v>
      </c>
      <c r="L178">
        <v>0</v>
      </c>
      <c r="M178" t="s">
        <v>94</v>
      </c>
      <c r="N178" t="s">
        <v>95</v>
      </c>
      <c r="Q178">
        <v>46265</v>
      </c>
    </row>
    <row r="179" spans="1:17">
      <c r="A179" t="s">
        <v>568</v>
      </c>
      <c r="B179">
        <v>46265</v>
      </c>
      <c r="C179" t="s">
        <v>58</v>
      </c>
      <c r="D179" t="s">
        <v>569</v>
      </c>
      <c r="E179" t="s">
        <v>570</v>
      </c>
      <c r="F179" t="s">
        <v>59</v>
      </c>
      <c r="G179" t="s">
        <v>139</v>
      </c>
      <c r="H179" t="s">
        <v>564</v>
      </c>
      <c r="I179">
        <v>46990</v>
      </c>
      <c r="J179">
        <v>46990</v>
      </c>
      <c r="K179">
        <v>0</v>
      </c>
      <c r="L179">
        <v>0</v>
      </c>
      <c r="M179" t="s">
        <v>94</v>
      </c>
      <c r="N179" t="s">
        <v>95</v>
      </c>
      <c r="Q179">
        <v>46265</v>
      </c>
    </row>
    <row r="180" spans="1:17">
      <c r="A180" t="s">
        <v>571</v>
      </c>
      <c r="B180">
        <v>46265</v>
      </c>
      <c r="C180" t="s">
        <v>58</v>
      </c>
      <c r="D180" t="s">
        <v>572</v>
      </c>
      <c r="E180" t="s">
        <v>573</v>
      </c>
      <c r="F180" t="s">
        <v>59</v>
      </c>
      <c r="G180" t="s">
        <v>139</v>
      </c>
      <c r="H180" t="s">
        <v>564</v>
      </c>
      <c r="I180">
        <v>55990</v>
      </c>
      <c r="J180">
        <v>55990</v>
      </c>
      <c r="K180">
        <v>0</v>
      </c>
      <c r="L180">
        <v>0</v>
      </c>
      <c r="M180" t="s">
        <v>94</v>
      </c>
      <c r="N180" t="s">
        <v>95</v>
      </c>
      <c r="Q180">
        <v>46265</v>
      </c>
    </row>
    <row r="181" spans="1:17">
      <c r="A181" t="s">
        <v>574</v>
      </c>
      <c r="B181">
        <v>46265</v>
      </c>
      <c r="C181" t="s">
        <v>58</v>
      </c>
      <c r="D181" t="s">
        <v>575</v>
      </c>
      <c r="E181" t="s">
        <v>576</v>
      </c>
      <c r="F181" t="s">
        <v>59</v>
      </c>
      <c r="G181" t="s">
        <v>577</v>
      </c>
      <c r="H181" t="s">
        <v>564</v>
      </c>
      <c r="I181">
        <v>43990</v>
      </c>
      <c r="J181">
        <v>43990</v>
      </c>
      <c r="K181">
        <v>0</v>
      </c>
      <c r="L181">
        <v>0</v>
      </c>
      <c r="M181" t="s">
        <v>94</v>
      </c>
      <c r="N181" t="s">
        <v>95</v>
      </c>
      <c r="Q181">
        <v>46265</v>
      </c>
    </row>
    <row r="182" spans="1:17">
      <c r="A182" t="s">
        <v>578</v>
      </c>
      <c r="B182">
        <v>46265</v>
      </c>
      <c r="C182" t="s">
        <v>58</v>
      </c>
      <c r="D182" t="s">
        <v>575</v>
      </c>
      <c r="E182" t="s">
        <v>579</v>
      </c>
      <c r="F182" t="s">
        <v>59</v>
      </c>
      <c r="G182" t="s">
        <v>577</v>
      </c>
      <c r="H182" t="s">
        <v>564</v>
      </c>
      <c r="I182">
        <v>43990</v>
      </c>
      <c r="J182">
        <v>43990</v>
      </c>
      <c r="K182">
        <v>0</v>
      </c>
      <c r="L182">
        <v>0</v>
      </c>
      <c r="M182" t="s">
        <v>94</v>
      </c>
      <c r="N182" t="s">
        <v>95</v>
      </c>
      <c r="Q182">
        <v>46265</v>
      </c>
    </row>
    <row r="183" spans="1:17">
      <c r="A183" t="s">
        <v>580</v>
      </c>
      <c r="B183">
        <v>46265</v>
      </c>
      <c r="C183" t="s">
        <v>58</v>
      </c>
      <c r="D183" t="s">
        <v>562</v>
      </c>
      <c r="E183" t="s">
        <v>581</v>
      </c>
      <c r="F183" t="s">
        <v>59</v>
      </c>
      <c r="G183" t="s">
        <v>139</v>
      </c>
      <c r="H183" t="s">
        <v>564</v>
      </c>
      <c r="I183">
        <v>45990</v>
      </c>
      <c r="J183">
        <v>45990</v>
      </c>
      <c r="K183">
        <v>0</v>
      </c>
      <c r="L183">
        <v>0</v>
      </c>
      <c r="M183" t="s">
        <v>94</v>
      </c>
      <c r="N183" t="s">
        <v>95</v>
      </c>
      <c r="Q183">
        <v>46265</v>
      </c>
    </row>
    <row r="184" spans="1:17">
      <c r="A184" t="s">
        <v>582</v>
      </c>
      <c r="B184">
        <v>46265</v>
      </c>
      <c r="C184" t="s">
        <v>58</v>
      </c>
      <c r="D184" t="s">
        <v>393</v>
      </c>
      <c r="E184" t="s">
        <v>583</v>
      </c>
      <c r="F184" t="s">
        <v>59</v>
      </c>
      <c r="G184" t="s">
        <v>139</v>
      </c>
      <c r="H184" t="s">
        <v>564</v>
      </c>
      <c r="I184">
        <v>45990</v>
      </c>
      <c r="J184">
        <v>45990</v>
      </c>
      <c r="K184">
        <v>0</v>
      </c>
      <c r="L184">
        <v>0</v>
      </c>
      <c r="M184" t="s">
        <v>94</v>
      </c>
      <c r="N184" t="s">
        <v>95</v>
      </c>
      <c r="Q184">
        <v>46265</v>
      </c>
    </row>
    <row r="185" spans="1:17">
      <c r="A185" t="s">
        <v>584</v>
      </c>
      <c r="B185">
        <v>46265</v>
      </c>
      <c r="C185" t="s">
        <v>58</v>
      </c>
      <c r="D185" t="s">
        <v>562</v>
      </c>
      <c r="E185" t="s">
        <v>585</v>
      </c>
      <c r="F185" t="s">
        <v>59</v>
      </c>
      <c r="G185" t="s">
        <v>139</v>
      </c>
      <c r="H185" t="s">
        <v>564</v>
      </c>
      <c r="I185">
        <v>43990</v>
      </c>
      <c r="J185">
        <v>43990</v>
      </c>
      <c r="K185">
        <v>0</v>
      </c>
      <c r="L185">
        <v>0</v>
      </c>
      <c r="M185" t="s">
        <v>94</v>
      </c>
      <c r="N185" t="s">
        <v>95</v>
      </c>
      <c r="Q185">
        <v>46265</v>
      </c>
    </row>
    <row r="186" spans="1:17">
      <c r="A186" t="s">
        <v>586</v>
      </c>
      <c r="B186">
        <v>46265</v>
      </c>
      <c r="C186" t="s">
        <v>58</v>
      </c>
      <c r="D186" t="s">
        <v>562</v>
      </c>
      <c r="E186" t="s">
        <v>587</v>
      </c>
      <c r="F186" t="s">
        <v>59</v>
      </c>
      <c r="G186" t="s">
        <v>139</v>
      </c>
      <c r="H186" t="s">
        <v>564</v>
      </c>
      <c r="I186">
        <v>45990</v>
      </c>
      <c r="J186">
        <v>45990</v>
      </c>
      <c r="K186">
        <v>0</v>
      </c>
      <c r="L186">
        <v>0</v>
      </c>
      <c r="M186" t="s">
        <v>94</v>
      </c>
      <c r="N186" t="s">
        <v>95</v>
      </c>
      <c r="Q186">
        <v>46265</v>
      </c>
    </row>
    <row r="187" spans="1:17">
      <c r="A187" t="s">
        <v>588</v>
      </c>
      <c r="B187">
        <v>46265</v>
      </c>
      <c r="C187" t="s">
        <v>58</v>
      </c>
      <c r="D187" t="s">
        <v>589</v>
      </c>
      <c r="E187" t="s">
        <v>590</v>
      </c>
      <c r="F187" t="s">
        <v>59</v>
      </c>
      <c r="G187" t="s">
        <v>139</v>
      </c>
      <c r="H187" t="s">
        <v>564</v>
      </c>
      <c r="I187">
        <v>47990</v>
      </c>
      <c r="J187">
        <v>47990</v>
      </c>
      <c r="K187">
        <v>0</v>
      </c>
      <c r="L187">
        <v>0</v>
      </c>
      <c r="M187" t="s">
        <v>94</v>
      </c>
      <c r="N187" t="s">
        <v>95</v>
      </c>
      <c r="Q187">
        <v>46265</v>
      </c>
    </row>
    <row r="188" spans="1:17">
      <c r="A188" t="s">
        <v>591</v>
      </c>
      <c r="B188">
        <v>46265</v>
      </c>
      <c r="C188" t="s">
        <v>58</v>
      </c>
      <c r="D188" t="s">
        <v>589</v>
      </c>
      <c r="E188" t="s">
        <v>592</v>
      </c>
      <c r="F188" t="s">
        <v>59</v>
      </c>
      <c r="G188" t="s">
        <v>139</v>
      </c>
      <c r="H188" t="s">
        <v>564</v>
      </c>
      <c r="I188">
        <v>48990</v>
      </c>
      <c r="J188">
        <v>48990</v>
      </c>
      <c r="K188">
        <v>0</v>
      </c>
      <c r="L188">
        <v>0</v>
      </c>
      <c r="M188" t="s">
        <v>94</v>
      </c>
      <c r="N188" t="s">
        <v>95</v>
      </c>
      <c r="Q188">
        <v>46265</v>
      </c>
    </row>
    <row r="189" spans="1:17">
      <c r="A189" t="s">
        <v>593</v>
      </c>
      <c r="B189">
        <v>46265</v>
      </c>
      <c r="C189" t="s">
        <v>58</v>
      </c>
      <c r="D189" t="s">
        <v>562</v>
      </c>
      <c r="E189" t="s">
        <v>594</v>
      </c>
      <c r="F189" t="s">
        <v>59</v>
      </c>
      <c r="G189" t="s">
        <v>139</v>
      </c>
      <c r="H189" t="s">
        <v>564</v>
      </c>
      <c r="I189">
        <v>47990</v>
      </c>
      <c r="J189">
        <v>47990</v>
      </c>
      <c r="K189">
        <v>0</v>
      </c>
      <c r="L189">
        <v>0</v>
      </c>
      <c r="M189" t="s">
        <v>94</v>
      </c>
      <c r="N189" t="s">
        <v>95</v>
      </c>
      <c r="Q189">
        <v>46265</v>
      </c>
    </row>
    <row r="190" spans="1:17">
      <c r="A190" t="s">
        <v>595</v>
      </c>
      <c r="B190">
        <v>46265</v>
      </c>
      <c r="C190" t="s">
        <v>58</v>
      </c>
      <c r="D190" t="s">
        <v>596</v>
      </c>
      <c r="E190" t="s">
        <v>597</v>
      </c>
      <c r="F190" t="s">
        <v>59</v>
      </c>
      <c r="G190" t="s">
        <v>577</v>
      </c>
      <c r="H190" t="s">
        <v>564</v>
      </c>
      <c r="I190">
        <v>39990</v>
      </c>
      <c r="J190">
        <v>39990</v>
      </c>
      <c r="K190">
        <v>0</v>
      </c>
      <c r="L190">
        <v>0</v>
      </c>
      <c r="M190" t="s">
        <v>94</v>
      </c>
      <c r="N190" t="s">
        <v>95</v>
      </c>
      <c r="Q190">
        <v>46265</v>
      </c>
    </row>
    <row r="191" spans="1:17">
      <c r="A191" t="s">
        <v>598</v>
      </c>
      <c r="B191">
        <v>46265</v>
      </c>
      <c r="C191" t="s">
        <v>58</v>
      </c>
      <c r="D191" t="s">
        <v>589</v>
      </c>
      <c r="E191" t="s">
        <v>599</v>
      </c>
      <c r="F191" t="s">
        <v>59</v>
      </c>
      <c r="G191" t="s">
        <v>139</v>
      </c>
      <c r="H191" t="s">
        <v>564</v>
      </c>
      <c r="I191">
        <v>48990</v>
      </c>
      <c r="J191">
        <v>48990</v>
      </c>
      <c r="K191">
        <v>0</v>
      </c>
      <c r="L191">
        <v>0</v>
      </c>
      <c r="M191" t="s">
        <v>94</v>
      </c>
      <c r="N191" t="s">
        <v>95</v>
      </c>
      <c r="Q191">
        <v>46265</v>
      </c>
    </row>
    <row r="192" spans="1:17">
      <c r="A192" t="s">
        <v>600</v>
      </c>
      <c r="B192">
        <v>46265</v>
      </c>
      <c r="C192" t="s">
        <v>58</v>
      </c>
      <c r="D192" t="s">
        <v>562</v>
      </c>
      <c r="E192" t="s">
        <v>601</v>
      </c>
      <c r="F192" t="s">
        <v>59</v>
      </c>
      <c r="G192" t="s">
        <v>139</v>
      </c>
      <c r="H192" t="s">
        <v>564</v>
      </c>
      <c r="I192">
        <v>47990</v>
      </c>
      <c r="J192">
        <v>47990</v>
      </c>
      <c r="K192">
        <v>0</v>
      </c>
      <c r="L192">
        <v>0</v>
      </c>
      <c r="M192" t="s">
        <v>94</v>
      </c>
      <c r="N192" t="s">
        <v>95</v>
      </c>
      <c r="Q192">
        <v>46265</v>
      </c>
    </row>
    <row r="193" spans="1:17">
      <c r="A193" t="s">
        <v>602</v>
      </c>
      <c r="B193">
        <v>46265</v>
      </c>
      <c r="C193" t="s">
        <v>58</v>
      </c>
      <c r="D193" t="s">
        <v>596</v>
      </c>
      <c r="E193" t="s">
        <v>603</v>
      </c>
      <c r="F193" t="s">
        <v>59</v>
      </c>
      <c r="G193" t="s">
        <v>577</v>
      </c>
      <c r="H193" t="s">
        <v>564</v>
      </c>
      <c r="I193">
        <v>39990</v>
      </c>
      <c r="J193">
        <v>39990</v>
      </c>
      <c r="K193">
        <v>0</v>
      </c>
      <c r="L193">
        <v>0</v>
      </c>
      <c r="M193" t="s">
        <v>94</v>
      </c>
      <c r="N193" t="s">
        <v>95</v>
      </c>
      <c r="Q193">
        <v>46265</v>
      </c>
    </row>
    <row r="194" spans="1:17">
      <c r="A194" t="s">
        <v>604</v>
      </c>
      <c r="B194">
        <v>46265</v>
      </c>
      <c r="C194" t="s">
        <v>58</v>
      </c>
      <c r="D194" t="s">
        <v>589</v>
      </c>
      <c r="E194" t="s">
        <v>605</v>
      </c>
      <c r="F194" t="s">
        <v>59</v>
      </c>
      <c r="G194" t="s">
        <v>139</v>
      </c>
      <c r="H194" t="s">
        <v>564</v>
      </c>
      <c r="I194">
        <v>47990</v>
      </c>
      <c r="J194">
        <v>47990</v>
      </c>
      <c r="K194">
        <v>0</v>
      </c>
      <c r="L194">
        <v>0</v>
      </c>
      <c r="M194" t="s">
        <v>94</v>
      </c>
      <c r="N194" t="s">
        <v>95</v>
      </c>
      <c r="Q194">
        <v>46265</v>
      </c>
    </row>
    <row r="195" spans="1:17">
      <c r="A195" t="s">
        <v>606</v>
      </c>
      <c r="B195">
        <v>46265</v>
      </c>
      <c r="C195" t="s">
        <v>58</v>
      </c>
      <c r="D195" t="s">
        <v>562</v>
      </c>
      <c r="E195" t="s">
        <v>607</v>
      </c>
      <c r="F195" t="s">
        <v>59</v>
      </c>
      <c r="G195" t="s">
        <v>139</v>
      </c>
      <c r="H195" t="s">
        <v>564</v>
      </c>
      <c r="I195">
        <v>53990</v>
      </c>
      <c r="J195">
        <v>53990</v>
      </c>
      <c r="K195">
        <v>0</v>
      </c>
      <c r="L195">
        <v>0</v>
      </c>
      <c r="M195" t="s">
        <v>94</v>
      </c>
      <c r="N195" t="s">
        <v>95</v>
      </c>
      <c r="Q195">
        <v>46265</v>
      </c>
    </row>
    <row r="196" spans="1:17">
      <c r="A196" t="s">
        <v>608</v>
      </c>
      <c r="B196">
        <v>46265</v>
      </c>
      <c r="C196" t="s">
        <v>58</v>
      </c>
      <c r="D196" t="s">
        <v>562</v>
      </c>
      <c r="E196" t="s">
        <v>609</v>
      </c>
      <c r="F196" t="s">
        <v>59</v>
      </c>
      <c r="G196" t="s">
        <v>139</v>
      </c>
      <c r="H196" t="s">
        <v>564</v>
      </c>
      <c r="I196">
        <v>36990</v>
      </c>
      <c r="J196">
        <v>36990</v>
      </c>
      <c r="K196">
        <v>0</v>
      </c>
      <c r="L196">
        <v>0</v>
      </c>
      <c r="M196" t="s">
        <v>94</v>
      </c>
      <c r="N196" t="s">
        <v>95</v>
      </c>
      <c r="Q196">
        <v>46265</v>
      </c>
    </row>
    <row r="197" spans="1:17">
      <c r="A197" t="s">
        <v>610</v>
      </c>
      <c r="B197">
        <v>46265</v>
      </c>
      <c r="C197" t="s">
        <v>58</v>
      </c>
      <c r="D197" t="s">
        <v>562</v>
      </c>
      <c r="E197" t="s">
        <v>611</v>
      </c>
      <c r="F197" t="s">
        <v>59</v>
      </c>
      <c r="G197" t="s">
        <v>139</v>
      </c>
      <c r="H197" t="s">
        <v>564</v>
      </c>
      <c r="I197">
        <v>45990</v>
      </c>
      <c r="J197">
        <v>45990</v>
      </c>
      <c r="K197">
        <v>0</v>
      </c>
      <c r="L197">
        <v>0</v>
      </c>
      <c r="M197" t="s">
        <v>94</v>
      </c>
      <c r="N197" t="s">
        <v>95</v>
      </c>
      <c r="Q197">
        <v>46265</v>
      </c>
    </row>
    <row r="198" spans="1:17">
      <c r="A198" t="s">
        <v>612</v>
      </c>
      <c r="B198">
        <v>46265</v>
      </c>
      <c r="C198" t="s">
        <v>58</v>
      </c>
      <c r="D198" t="s">
        <v>562</v>
      </c>
      <c r="E198" t="s">
        <v>613</v>
      </c>
      <c r="F198" t="s">
        <v>59</v>
      </c>
      <c r="G198" t="s">
        <v>139</v>
      </c>
      <c r="H198" t="s">
        <v>564</v>
      </c>
      <c r="I198">
        <v>48990</v>
      </c>
      <c r="J198">
        <v>48990</v>
      </c>
      <c r="K198">
        <v>0</v>
      </c>
      <c r="L198">
        <v>0</v>
      </c>
      <c r="M198" t="s">
        <v>94</v>
      </c>
      <c r="N198" t="s">
        <v>95</v>
      </c>
      <c r="Q198">
        <v>46265</v>
      </c>
    </row>
    <row r="199" spans="1:17">
      <c r="A199" t="s">
        <v>614</v>
      </c>
      <c r="B199">
        <v>46265</v>
      </c>
      <c r="C199" t="s">
        <v>58</v>
      </c>
      <c r="D199" t="s">
        <v>615</v>
      </c>
      <c r="E199" t="s">
        <v>616</v>
      </c>
      <c r="F199" t="s">
        <v>59</v>
      </c>
      <c r="G199" t="s">
        <v>139</v>
      </c>
      <c r="H199" t="s">
        <v>564</v>
      </c>
      <c r="I199">
        <v>26990</v>
      </c>
      <c r="J199">
        <v>26990</v>
      </c>
      <c r="K199">
        <v>0</v>
      </c>
      <c r="L199">
        <v>0</v>
      </c>
      <c r="M199" t="s">
        <v>94</v>
      </c>
      <c r="N199" t="s">
        <v>95</v>
      </c>
      <c r="Q199">
        <v>46265</v>
      </c>
    </row>
    <row r="200" spans="1:17">
      <c r="A200" t="s">
        <v>617</v>
      </c>
      <c r="B200">
        <v>46265</v>
      </c>
      <c r="C200" t="s">
        <v>58</v>
      </c>
      <c r="D200" t="s">
        <v>618</v>
      </c>
      <c r="E200" t="s">
        <v>619</v>
      </c>
      <c r="F200" t="s">
        <v>59</v>
      </c>
      <c r="G200" t="s">
        <v>139</v>
      </c>
      <c r="H200" t="s">
        <v>564</v>
      </c>
      <c r="I200">
        <v>56990</v>
      </c>
      <c r="J200">
        <v>56990</v>
      </c>
      <c r="K200">
        <v>0</v>
      </c>
      <c r="L200">
        <v>0</v>
      </c>
      <c r="M200" t="s">
        <v>94</v>
      </c>
      <c r="N200" t="s">
        <v>95</v>
      </c>
      <c r="Q200">
        <v>46265</v>
      </c>
    </row>
    <row r="201" spans="1:17">
      <c r="A201" t="s">
        <v>620</v>
      </c>
      <c r="B201">
        <v>46265</v>
      </c>
      <c r="C201" t="s">
        <v>58</v>
      </c>
      <c r="D201" t="s">
        <v>618</v>
      </c>
      <c r="E201" t="s">
        <v>621</v>
      </c>
      <c r="F201" t="s">
        <v>59</v>
      </c>
      <c r="G201" t="s">
        <v>139</v>
      </c>
      <c r="H201" t="s">
        <v>564</v>
      </c>
      <c r="I201">
        <v>56990</v>
      </c>
      <c r="J201">
        <v>56990</v>
      </c>
      <c r="K201">
        <v>0</v>
      </c>
      <c r="L201">
        <v>0</v>
      </c>
      <c r="M201" t="s">
        <v>94</v>
      </c>
      <c r="N201" t="s">
        <v>95</v>
      </c>
      <c r="Q201">
        <v>46265</v>
      </c>
    </row>
    <row r="202" spans="1:17">
      <c r="A202" t="s">
        <v>622</v>
      </c>
      <c r="B202">
        <v>46265</v>
      </c>
      <c r="C202" t="s">
        <v>60</v>
      </c>
      <c r="D202" t="s">
        <v>623</v>
      </c>
      <c r="E202" t="s">
        <v>624</v>
      </c>
      <c r="F202" t="s">
        <v>57</v>
      </c>
      <c r="G202" t="s">
        <v>139</v>
      </c>
      <c r="H202" t="s">
        <v>625</v>
      </c>
      <c r="I202">
        <v>4499</v>
      </c>
      <c r="J202">
        <v>4499</v>
      </c>
      <c r="K202">
        <v>0</v>
      </c>
      <c r="L202">
        <v>0</v>
      </c>
      <c r="M202" t="s">
        <v>94</v>
      </c>
      <c r="N202" t="s">
        <v>95</v>
      </c>
      <c r="Q202">
        <v>46265</v>
      </c>
    </row>
    <row r="203" spans="1:17">
      <c r="A203" t="s">
        <v>626</v>
      </c>
      <c r="B203">
        <v>46265</v>
      </c>
      <c r="C203" t="s">
        <v>60</v>
      </c>
      <c r="D203" t="s">
        <v>623</v>
      </c>
      <c r="E203" t="s">
        <v>627</v>
      </c>
      <c r="F203" t="s">
        <v>57</v>
      </c>
      <c r="G203" t="s">
        <v>139</v>
      </c>
      <c r="H203" t="s">
        <v>625</v>
      </c>
      <c r="I203">
        <v>4499</v>
      </c>
      <c r="J203">
        <v>4499</v>
      </c>
      <c r="K203">
        <v>0</v>
      </c>
      <c r="L203">
        <v>0</v>
      </c>
      <c r="M203" t="s">
        <v>94</v>
      </c>
      <c r="N203" t="s">
        <v>95</v>
      </c>
      <c r="Q203">
        <v>46265</v>
      </c>
    </row>
    <row r="204" spans="1:17">
      <c r="A204" t="s">
        <v>628</v>
      </c>
      <c r="B204">
        <v>46265</v>
      </c>
      <c r="C204" t="s">
        <v>60</v>
      </c>
      <c r="D204" t="s">
        <v>623</v>
      </c>
      <c r="E204" t="s">
        <v>629</v>
      </c>
      <c r="F204" t="s">
        <v>57</v>
      </c>
      <c r="G204" t="s">
        <v>139</v>
      </c>
      <c r="H204" t="s">
        <v>625</v>
      </c>
      <c r="I204">
        <v>4499</v>
      </c>
      <c r="J204">
        <v>4499</v>
      </c>
      <c r="K204">
        <v>0</v>
      </c>
      <c r="L204">
        <v>0</v>
      </c>
      <c r="M204" t="s">
        <v>94</v>
      </c>
      <c r="N204" t="s">
        <v>95</v>
      </c>
      <c r="Q204">
        <v>46265</v>
      </c>
    </row>
    <row r="205" spans="1:17">
      <c r="A205" t="s">
        <v>630</v>
      </c>
      <c r="B205">
        <v>46265</v>
      </c>
      <c r="C205" t="s">
        <v>60</v>
      </c>
      <c r="D205" t="s">
        <v>623</v>
      </c>
      <c r="E205" t="s">
        <v>631</v>
      </c>
      <c r="F205" t="s">
        <v>57</v>
      </c>
      <c r="G205" t="s">
        <v>139</v>
      </c>
      <c r="H205" t="s">
        <v>625</v>
      </c>
      <c r="I205">
        <v>4499</v>
      </c>
      <c r="J205">
        <v>4499</v>
      </c>
      <c r="K205">
        <v>0</v>
      </c>
      <c r="L205">
        <v>0</v>
      </c>
      <c r="M205" t="s">
        <v>94</v>
      </c>
      <c r="N205" t="s">
        <v>95</v>
      </c>
      <c r="Q205">
        <v>46265</v>
      </c>
    </row>
    <row r="206" spans="1:17">
      <c r="A206" t="s">
        <v>632</v>
      </c>
      <c r="B206">
        <v>46265</v>
      </c>
      <c r="C206" t="s">
        <v>60</v>
      </c>
      <c r="D206" t="s">
        <v>623</v>
      </c>
      <c r="E206" t="s">
        <v>633</v>
      </c>
      <c r="F206" t="s">
        <v>57</v>
      </c>
      <c r="G206" t="s">
        <v>139</v>
      </c>
      <c r="H206" t="s">
        <v>625</v>
      </c>
      <c r="I206">
        <v>4499</v>
      </c>
      <c r="J206">
        <v>4499</v>
      </c>
      <c r="K206">
        <v>0</v>
      </c>
      <c r="L206">
        <v>0</v>
      </c>
      <c r="M206" t="s">
        <v>94</v>
      </c>
      <c r="N206" t="s">
        <v>95</v>
      </c>
      <c r="Q206">
        <v>46265</v>
      </c>
    </row>
    <row r="207" spans="1:17">
      <c r="A207" t="s">
        <v>634</v>
      </c>
      <c r="B207">
        <v>46265</v>
      </c>
      <c r="C207" t="s">
        <v>60</v>
      </c>
      <c r="D207" t="s">
        <v>623</v>
      </c>
      <c r="E207" t="s">
        <v>635</v>
      </c>
      <c r="F207" t="s">
        <v>57</v>
      </c>
      <c r="G207" t="s">
        <v>139</v>
      </c>
      <c r="H207" t="s">
        <v>625</v>
      </c>
      <c r="I207">
        <v>4499</v>
      </c>
      <c r="J207">
        <v>4499</v>
      </c>
      <c r="K207">
        <v>0</v>
      </c>
      <c r="L207">
        <v>0</v>
      </c>
      <c r="M207" t="s">
        <v>94</v>
      </c>
      <c r="N207" t="s">
        <v>95</v>
      </c>
      <c r="Q207">
        <v>46265</v>
      </c>
    </row>
    <row r="208" spans="1:17">
      <c r="A208" t="s">
        <v>636</v>
      </c>
      <c r="B208">
        <v>46265</v>
      </c>
      <c r="C208" t="s">
        <v>60</v>
      </c>
      <c r="D208" t="s">
        <v>623</v>
      </c>
      <c r="E208" t="s">
        <v>637</v>
      </c>
      <c r="F208" t="s">
        <v>57</v>
      </c>
      <c r="G208" t="s">
        <v>139</v>
      </c>
      <c r="H208" t="s">
        <v>625</v>
      </c>
      <c r="I208">
        <v>4499</v>
      </c>
      <c r="J208">
        <v>4499</v>
      </c>
      <c r="K208">
        <v>0</v>
      </c>
      <c r="L208">
        <v>0</v>
      </c>
      <c r="M208" t="s">
        <v>94</v>
      </c>
      <c r="N208" t="s">
        <v>95</v>
      </c>
      <c r="Q208">
        <v>46265</v>
      </c>
    </row>
    <row r="209" spans="1:17">
      <c r="A209" t="s">
        <v>638</v>
      </c>
      <c r="B209">
        <v>46265</v>
      </c>
      <c r="C209" t="s">
        <v>60</v>
      </c>
      <c r="D209" t="s">
        <v>623</v>
      </c>
      <c r="E209" t="s">
        <v>639</v>
      </c>
      <c r="F209" t="s">
        <v>57</v>
      </c>
      <c r="G209" t="s">
        <v>139</v>
      </c>
      <c r="H209" t="s">
        <v>625</v>
      </c>
      <c r="I209">
        <v>4499</v>
      </c>
      <c r="J209">
        <v>4499</v>
      </c>
      <c r="K209">
        <v>0</v>
      </c>
      <c r="L209">
        <v>0</v>
      </c>
      <c r="M209" t="s">
        <v>94</v>
      </c>
      <c r="N209" t="s">
        <v>95</v>
      </c>
      <c r="Q209">
        <v>46265</v>
      </c>
    </row>
    <row r="210" spans="1:17">
      <c r="A210" t="s">
        <v>640</v>
      </c>
      <c r="B210">
        <v>46265</v>
      </c>
      <c r="C210" t="s">
        <v>60</v>
      </c>
      <c r="D210" t="s">
        <v>641</v>
      </c>
      <c r="E210" t="s">
        <v>642</v>
      </c>
      <c r="F210" t="s">
        <v>57</v>
      </c>
      <c r="G210" t="s">
        <v>126</v>
      </c>
      <c r="H210" t="s">
        <v>625</v>
      </c>
      <c r="I210">
        <v>2999</v>
      </c>
      <c r="J210">
        <v>2999</v>
      </c>
      <c r="K210">
        <v>0</v>
      </c>
      <c r="L210">
        <v>0</v>
      </c>
      <c r="M210" t="s">
        <v>94</v>
      </c>
      <c r="N210" t="s">
        <v>95</v>
      </c>
      <c r="Q210">
        <v>46265</v>
      </c>
    </row>
    <row r="211" spans="1:17">
      <c r="A211" t="s">
        <v>643</v>
      </c>
      <c r="B211">
        <v>46265</v>
      </c>
      <c r="C211" t="s">
        <v>60</v>
      </c>
      <c r="D211" t="s">
        <v>641</v>
      </c>
      <c r="E211" t="s">
        <v>644</v>
      </c>
      <c r="F211" t="s">
        <v>57</v>
      </c>
      <c r="G211" t="s">
        <v>126</v>
      </c>
      <c r="H211" t="s">
        <v>625</v>
      </c>
      <c r="I211">
        <v>2999</v>
      </c>
      <c r="J211">
        <v>2999</v>
      </c>
      <c r="K211">
        <v>0</v>
      </c>
      <c r="L211">
        <v>0</v>
      </c>
      <c r="M211" t="s">
        <v>94</v>
      </c>
      <c r="N211" t="s">
        <v>95</v>
      </c>
      <c r="Q211">
        <v>46265</v>
      </c>
    </row>
    <row r="212" spans="1:17">
      <c r="A212" t="s">
        <v>645</v>
      </c>
      <c r="B212">
        <v>46265</v>
      </c>
      <c r="C212" t="s">
        <v>60</v>
      </c>
      <c r="D212" t="s">
        <v>641</v>
      </c>
      <c r="E212" t="s">
        <v>646</v>
      </c>
      <c r="F212" t="s">
        <v>57</v>
      </c>
      <c r="G212" t="s">
        <v>126</v>
      </c>
      <c r="H212" t="s">
        <v>625</v>
      </c>
      <c r="I212">
        <v>2999</v>
      </c>
      <c r="J212">
        <v>2999</v>
      </c>
      <c r="K212">
        <v>0</v>
      </c>
      <c r="L212">
        <v>0</v>
      </c>
      <c r="M212" t="s">
        <v>94</v>
      </c>
      <c r="N212" t="s">
        <v>95</v>
      </c>
      <c r="Q212">
        <v>46265</v>
      </c>
    </row>
    <row r="213" spans="1:17">
      <c r="A213" t="s">
        <v>647</v>
      </c>
      <c r="B213">
        <v>46265</v>
      </c>
      <c r="C213" t="s">
        <v>60</v>
      </c>
      <c r="D213" t="s">
        <v>641</v>
      </c>
      <c r="E213" t="s">
        <v>648</v>
      </c>
      <c r="F213" t="s">
        <v>57</v>
      </c>
      <c r="G213" t="s">
        <v>126</v>
      </c>
      <c r="H213" t="s">
        <v>625</v>
      </c>
      <c r="I213">
        <v>2999</v>
      </c>
      <c r="J213">
        <v>2999</v>
      </c>
      <c r="K213">
        <v>0</v>
      </c>
      <c r="L213">
        <v>0</v>
      </c>
      <c r="M213" t="s">
        <v>94</v>
      </c>
      <c r="N213" t="s">
        <v>95</v>
      </c>
      <c r="Q213">
        <v>46265</v>
      </c>
    </row>
    <row r="214" spans="1:17">
      <c r="A214" t="s">
        <v>649</v>
      </c>
      <c r="B214">
        <v>46265</v>
      </c>
      <c r="C214" t="s">
        <v>60</v>
      </c>
      <c r="D214" t="s">
        <v>641</v>
      </c>
      <c r="E214" t="s">
        <v>650</v>
      </c>
      <c r="F214" t="s">
        <v>57</v>
      </c>
      <c r="G214" t="s">
        <v>126</v>
      </c>
      <c r="H214" t="s">
        <v>625</v>
      </c>
      <c r="I214">
        <v>2999</v>
      </c>
      <c r="J214">
        <v>2999</v>
      </c>
      <c r="K214">
        <v>0</v>
      </c>
      <c r="L214">
        <v>0</v>
      </c>
      <c r="M214" t="s">
        <v>94</v>
      </c>
      <c r="N214" t="s">
        <v>95</v>
      </c>
      <c r="Q214">
        <v>46265</v>
      </c>
    </row>
    <row r="215" spans="1:17">
      <c r="A215" t="s">
        <v>651</v>
      </c>
      <c r="B215">
        <v>46265</v>
      </c>
      <c r="C215" t="s">
        <v>60</v>
      </c>
      <c r="D215" t="s">
        <v>623</v>
      </c>
      <c r="E215" t="s">
        <v>652</v>
      </c>
      <c r="F215" t="s">
        <v>57</v>
      </c>
      <c r="G215" t="s">
        <v>139</v>
      </c>
      <c r="H215" t="s">
        <v>625</v>
      </c>
      <c r="I215">
        <v>4499</v>
      </c>
      <c r="J215">
        <v>4499</v>
      </c>
      <c r="K215">
        <v>0</v>
      </c>
      <c r="L215">
        <v>0</v>
      </c>
      <c r="M215" t="s">
        <v>94</v>
      </c>
      <c r="N215" t="s">
        <v>95</v>
      </c>
      <c r="Q215">
        <v>46265</v>
      </c>
    </row>
    <row r="216" spans="1:17">
      <c r="A216" t="s">
        <v>653</v>
      </c>
      <c r="B216">
        <v>46265</v>
      </c>
      <c r="C216" t="s">
        <v>60</v>
      </c>
      <c r="D216" t="s">
        <v>623</v>
      </c>
      <c r="E216" t="s">
        <v>654</v>
      </c>
      <c r="F216" t="s">
        <v>57</v>
      </c>
      <c r="G216" t="s">
        <v>139</v>
      </c>
      <c r="H216" t="s">
        <v>625</v>
      </c>
      <c r="I216">
        <v>4499</v>
      </c>
      <c r="J216">
        <v>4499</v>
      </c>
      <c r="K216">
        <v>0</v>
      </c>
      <c r="L216">
        <v>0</v>
      </c>
      <c r="M216" t="s">
        <v>94</v>
      </c>
      <c r="N216" t="s">
        <v>95</v>
      </c>
      <c r="Q216">
        <v>46265</v>
      </c>
    </row>
    <row r="217" spans="1:17">
      <c r="A217" t="s">
        <v>655</v>
      </c>
      <c r="B217">
        <v>46265</v>
      </c>
      <c r="C217" t="s">
        <v>60</v>
      </c>
      <c r="D217" t="s">
        <v>623</v>
      </c>
      <c r="E217" t="s">
        <v>656</v>
      </c>
      <c r="F217" t="s">
        <v>57</v>
      </c>
      <c r="G217" t="s">
        <v>139</v>
      </c>
      <c r="H217" t="s">
        <v>625</v>
      </c>
      <c r="I217">
        <v>4499</v>
      </c>
      <c r="J217">
        <v>4499</v>
      </c>
      <c r="K217">
        <v>0</v>
      </c>
      <c r="L217">
        <v>0</v>
      </c>
      <c r="M217" t="s">
        <v>94</v>
      </c>
      <c r="N217" t="s">
        <v>95</v>
      </c>
      <c r="Q217">
        <v>46265</v>
      </c>
    </row>
    <row r="218" spans="1:17">
      <c r="A218" t="s">
        <v>657</v>
      </c>
      <c r="B218">
        <v>46265</v>
      </c>
      <c r="C218" t="s">
        <v>60</v>
      </c>
      <c r="D218" t="s">
        <v>623</v>
      </c>
      <c r="E218" t="s">
        <v>658</v>
      </c>
      <c r="F218" t="s">
        <v>57</v>
      </c>
      <c r="G218" t="s">
        <v>139</v>
      </c>
      <c r="H218" t="s">
        <v>625</v>
      </c>
      <c r="I218">
        <v>4499</v>
      </c>
      <c r="J218">
        <v>4499</v>
      </c>
      <c r="K218">
        <v>0</v>
      </c>
      <c r="L218">
        <v>0</v>
      </c>
      <c r="M218" t="s">
        <v>94</v>
      </c>
      <c r="N218" t="s">
        <v>95</v>
      </c>
      <c r="Q218">
        <v>46265</v>
      </c>
    </row>
    <row r="219" spans="1:17">
      <c r="A219" t="s">
        <v>659</v>
      </c>
      <c r="B219">
        <v>46265</v>
      </c>
      <c r="C219" t="s">
        <v>60</v>
      </c>
      <c r="D219" t="s">
        <v>641</v>
      </c>
      <c r="E219" t="s">
        <v>660</v>
      </c>
      <c r="F219" t="s">
        <v>57</v>
      </c>
      <c r="G219" t="s">
        <v>126</v>
      </c>
      <c r="H219" t="s">
        <v>625</v>
      </c>
      <c r="I219">
        <v>2999</v>
      </c>
      <c r="J219">
        <v>2999</v>
      </c>
      <c r="K219">
        <v>0</v>
      </c>
      <c r="L219">
        <v>0</v>
      </c>
      <c r="M219" t="s">
        <v>94</v>
      </c>
      <c r="N219" t="s">
        <v>95</v>
      </c>
      <c r="Q219">
        <v>46265</v>
      </c>
    </row>
    <row r="220" spans="1:17">
      <c r="A220" t="s">
        <v>661</v>
      </c>
      <c r="B220">
        <v>46265</v>
      </c>
      <c r="C220" t="s">
        <v>60</v>
      </c>
      <c r="D220" t="s">
        <v>641</v>
      </c>
      <c r="E220" t="s">
        <v>662</v>
      </c>
      <c r="F220" t="s">
        <v>57</v>
      </c>
      <c r="G220" t="s">
        <v>126</v>
      </c>
      <c r="H220" t="s">
        <v>625</v>
      </c>
      <c r="I220">
        <v>2999</v>
      </c>
      <c r="J220">
        <v>2999</v>
      </c>
      <c r="K220">
        <v>0</v>
      </c>
      <c r="L220">
        <v>0</v>
      </c>
      <c r="M220" t="s">
        <v>94</v>
      </c>
      <c r="N220" t="s">
        <v>95</v>
      </c>
      <c r="Q220">
        <v>46265</v>
      </c>
    </row>
    <row r="221" spans="1:17">
      <c r="A221" t="s">
        <v>663</v>
      </c>
      <c r="B221">
        <v>46265</v>
      </c>
      <c r="C221" t="s">
        <v>60</v>
      </c>
      <c r="D221" t="s">
        <v>664</v>
      </c>
      <c r="E221" t="s">
        <v>665</v>
      </c>
      <c r="F221" t="s">
        <v>57</v>
      </c>
      <c r="G221" t="s">
        <v>139</v>
      </c>
      <c r="H221" t="s">
        <v>625</v>
      </c>
      <c r="I221">
        <v>8799</v>
      </c>
      <c r="J221">
        <v>8799</v>
      </c>
      <c r="K221">
        <v>0</v>
      </c>
      <c r="L221">
        <v>0</v>
      </c>
      <c r="M221" t="s">
        <v>94</v>
      </c>
      <c r="N221" t="s">
        <v>95</v>
      </c>
      <c r="Q221">
        <v>46265</v>
      </c>
    </row>
    <row r="222" spans="1:17">
      <c r="A222" t="s">
        <v>666</v>
      </c>
      <c r="B222">
        <v>46265</v>
      </c>
      <c r="C222" t="s">
        <v>60</v>
      </c>
      <c r="D222" t="s">
        <v>664</v>
      </c>
      <c r="E222" t="s">
        <v>667</v>
      </c>
      <c r="F222" t="s">
        <v>57</v>
      </c>
      <c r="G222" t="s">
        <v>139</v>
      </c>
      <c r="H222" t="s">
        <v>625</v>
      </c>
      <c r="I222">
        <v>8799</v>
      </c>
      <c r="J222">
        <v>8799</v>
      </c>
      <c r="K222">
        <v>0</v>
      </c>
      <c r="L222">
        <v>0</v>
      </c>
      <c r="M222" t="s">
        <v>94</v>
      </c>
      <c r="N222" t="s">
        <v>95</v>
      </c>
      <c r="Q222">
        <v>46265</v>
      </c>
    </row>
    <row r="223" spans="1:17">
      <c r="A223" t="s">
        <v>668</v>
      </c>
      <c r="B223">
        <v>46265</v>
      </c>
      <c r="C223" t="s">
        <v>60</v>
      </c>
      <c r="D223" t="s">
        <v>664</v>
      </c>
      <c r="E223" t="s">
        <v>669</v>
      </c>
      <c r="F223" t="s">
        <v>57</v>
      </c>
      <c r="G223" t="s">
        <v>139</v>
      </c>
      <c r="H223" t="s">
        <v>625</v>
      </c>
      <c r="I223">
        <v>8799</v>
      </c>
      <c r="J223">
        <v>8799</v>
      </c>
      <c r="K223">
        <v>0</v>
      </c>
      <c r="L223">
        <v>0</v>
      </c>
      <c r="M223" t="s">
        <v>94</v>
      </c>
      <c r="N223" t="s">
        <v>95</v>
      </c>
      <c r="Q223">
        <v>46265</v>
      </c>
    </row>
    <row r="224" spans="1:17">
      <c r="A224" t="s">
        <v>670</v>
      </c>
      <c r="B224">
        <v>46265</v>
      </c>
      <c r="C224" t="s">
        <v>60</v>
      </c>
      <c r="D224" t="s">
        <v>664</v>
      </c>
      <c r="E224" t="s">
        <v>671</v>
      </c>
      <c r="F224" t="s">
        <v>57</v>
      </c>
      <c r="G224" t="s">
        <v>139</v>
      </c>
      <c r="H224" t="s">
        <v>625</v>
      </c>
      <c r="I224">
        <v>8799</v>
      </c>
      <c r="J224">
        <v>8799</v>
      </c>
      <c r="K224">
        <v>0</v>
      </c>
      <c r="L224">
        <v>0</v>
      </c>
      <c r="M224" t="s">
        <v>94</v>
      </c>
      <c r="N224" t="s">
        <v>95</v>
      </c>
      <c r="Q224">
        <v>46265</v>
      </c>
    </row>
    <row r="225" spans="1:17">
      <c r="A225" t="s">
        <v>672</v>
      </c>
      <c r="B225">
        <v>46265</v>
      </c>
      <c r="C225" t="s">
        <v>60</v>
      </c>
      <c r="D225" t="s">
        <v>664</v>
      </c>
      <c r="E225" t="s">
        <v>673</v>
      </c>
      <c r="F225" t="s">
        <v>57</v>
      </c>
      <c r="G225" t="s">
        <v>139</v>
      </c>
      <c r="H225" t="s">
        <v>625</v>
      </c>
      <c r="I225">
        <v>10799</v>
      </c>
      <c r="J225">
        <v>10799</v>
      </c>
      <c r="K225">
        <v>0</v>
      </c>
      <c r="L225">
        <v>0</v>
      </c>
      <c r="M225" t="s">
        <v>94</v>
      </c>
      <c r="N225" t="s">
        <v>95</v>
      </c>
      <c r="Q225">
        <v>46265</v>
      </c>
    </row>
    <row r="226" spans="1:17">
      <c r="A226" t="s">
        <v>674</v>
      </c>
      <c r="B226">
        <v>46265</v>
      </c>
      <c r="C226" t="s">
        <v>60</v>
      </c>
      <c r="D226" t="s">
        <v>664</v>
      </c>
      <c r="E226" t="s">
        <v>675</v>
      </c>
      <c r="F226" t="s">
        <v>57</v>
      </c>
      <c r="G226" t="s">
        <v>139</v>
      </c>
      <c r="H226" t="s">
        <v>625</v>
      </c>
      <c r="I226">
        <v>10799</v>
      </c>
      <c r="J226">
        <v>10799</v>
      </c>
      <c r="K226">
        <v>0</v>
      </c>
      <c r="L226">
        <v>0</v>
      </c>
      <c r="M226" t="s">
        <v>94</v>
      </c>
      <c r="N226" t="s">
        <v>95</v>
      </c>
      <c r="Q226">
        <v>46265</v>
      </c>
    </row>
    <row r="227" spans="1:17">
      <c r="A227" t="s">
        <v>676</v>
      </c>
      <c r="B227">
        <v>46265</v>
      </c>
      <c r="C227" t="s">
        <v>60</v>
      </c>
      <c r="D227" t="s">
        <v>677</v>
      </c>
      <c r="E227" t="s">
        <v>678</v>
      </c>
      <c r="F227" t="s">
        <v>61</v>
      </c>
      <c r="G227" t="s">
        <v>90</v>
      </c>
      <c r="H227" t="s">
        <v>679</v>
      </c>
      <c r="I227">
        <v>12999</v>
      </c>
      <c r="J227">
        <v>12999</v>
      </c>
      <c r="K227">
        <v>0</v>
      </c>
      <c r="L227">
        <v>0</v>
      </c>
      <c r="M227" t="s">
        <v>94</v>
      </c>
      <c r="N227" t="s">
        <v>95</v>
      </c>
      <c r="Q227">
        <v>46265</v>
      </c>
    </row>
    <row r="228" spans="1:17">
      <c r="A228" t="s">
        <v>680</v>
      </c>
      <c r="B228">
        <v>46265</v>
      </c>
      <c r="C228" t="s">
        <v>60</v>
      </c>
      <c r="D228" t="s">
        <v>677</v>
      </c>
      <c r="E228" t="s">
        <v>681</v>
      </c>
      <c r="F228" t="s">
        <v>61</v>
      </c>
      <c r="G228" t="s">
        <v>90</v>
      </c>
      <c r="H228" t="s">
        <v>679</v>
      </c>
      <c r="I228">
        <v>13499</v>
      </c>
      <c r="J228">
        <v>13499</v>
      </c>
      <c r="K228">
        <v>0</v>
      </c>
      <c r="L228">
        <v>0</v>
      </c>
      <c r="M228" t="s">
        <v>94</v>
      </c>
      <c r="N228" t="s">
        <v>95</v>
      </c>
      <c r="Q228">
        <v>46265</v>
      </c>
    </row>
    <row r="229" spans="1:17">
      <c r="A229" t="s">
        <v>682</v>
      </c>
      <c r="B229">
        <v>46265</v>
      </c>
      <c r="C229" t="s">
        <v>60</v>
      </c>
      <c r="D229" t="s">
        <v>683</v>
      </c>
      <c r="E229" t="s">
        <v>684</v>
      </c>
      <c r="F229" t="s">
        <v>61</v>
      </c>
      <c r="G229" t="s">
        <v>90</v>
      </c>
      <c r="H229" t="s">
        <v>679</v>
      </c>
      <c r="I229">
        <v>9099</v>
      </c>
      <c r="J229">
        <v>9099</v>
      </c>
      <c r="K229">
        <v>0</v>
      </c>
      <c r="L229">
        <v>0</v>
      </c>
      <c r="M229" t="s">
        <v>94</v>
      </c>
      <c r="N229" t="s">
        <v>95</v>
      </c>
      <c r="Q229">
        <v>46265</v>
      </c>
    </row>
    <row r="230" spans="1:17">
      <c r="A230" t="s">
        <v>685</v>
      </c>
      <c r="B230">
        <v>46265</v>
      </c>
      <c r="C230" t="s">
        <v>60</v>
      </c>
      <c r="D230" t="s">
        <v>683</v>
      </c>
      <c r="E230" t="s">
        <v>686</v>
      </c>
      <c r="F230" t="s">
        <v>61</v>
      </c>
      <c r="G230" t="s">
        <v>90</v>
      </c>
      <c r="H230" t="s">
        <v>679</v>
      </c>
      <c r="I230">
        <v>7799</v>
      </c>
      <c r="J230">
        <v>7799</v>
      </c>
      <c r="K230">
        <v>0</v>
      </c>
      <c r="L230">
        <v>0</v>
      </c>
      <c r="M230" t="s">
        <v>94</v>
      </c>
      <c r="N230" t="s">
        <v>95</v>
      </c>
      <c r="Q230">
        <v>46265</v>
      </c>
    </row>
    <row r="231" spans="1:17">
      <c r="A231" t="s">
        <v>687</v>
      </c>
      <c r="B231">
        <v>46265</v>
      </c>
      <c r="C231" t="s">
        <v>60</v>
      </c>
      <c r="D231" t="s">
        <v>683</v>
      </c>
      <c r="E231" t="s">
        <v>688</v>
      </c>
      <c r="F231" t="s">
        <v>61</v>
      </c>
      <c r="G231" t="s">
        <v>90</v>
      </c>
      <c r="H231" t="s">
        <v>679</v>
      </c>
      <c r="I231">
        <v>8499</v>
      </c>
      <c r="J231">
        <v>8499</v>
      </c>
      <c r="K231">
        <v>0</v>
      </c>
      <c r="L231">
        <v>0</v>
      </c>
      <c r="M231" t="s">
        <v>94</v>
      </c>
      <c r="N231" t="s">
        <v>95</v>
      </c>
      <c r="Q231">
        <v>46265</v>
      </c>
    </row>
    <row r="232" spans="1:17">
      <c r="A232" t="s">
        <v>689</v>
      </c>
      <c r="B232">
        <v>46265</v>
      </c>
      <c r="C232" t="s">
        <v>60</v>
      </c>
      <c r="D232" t="s">
        <v>690</v>
      </c>
      <c r="E232" t="s">
        <v>691</v>
      </c>
      <c r="F232" t="s">
        <v>61</v>
      </c>
      <c r="G232" t="s">
        <v>90</v>
      </c>
      <c r="H232" t="s">
        <v>679</v>
      </c>
      <c r="I232">
        <v>8399</v>
      </c>
      <c r="J232">
        <v>8399</v>
      </c>
      <c r="K232">
        <v>0</v>
      </c>
      <c r="L232">
        <v>0</v>
      </c>
      <c r="M232" t="s">
        <v>94</v>
      </c>
      <c r="N232" t="s">
        <v>95</v>
      </c>
      <c r="Q232">
        <v>46265</v>
      </c>
    </row>
    <row r="233" spans="1:17">
      <c r="A233" t="s">
        <v>692</v>
      </c>
      <c r="B233">
        <v>46265</v>
      </c>
      <c r="C233" t="s">
        <v>60</v>
      </c>
      <c r="D233" t="s">
        <v>683</v>
      </c>
      <c r="E233" t="s">
        <v>693</v>
      </c>
      <c r="F233" t="s">
        <v>61</v>
      </c>
      <c r="G233" t="s">
        <v>90</v>
      </c>
      <c r="H233" t="s">
        <v>679</v>
      </c>
      <c r="I233">
        <v>9999</v>
      </c>
      <c r="J233">
        <v>9999</v>
      </c>
      <c r="K233">
        <v>0</v>
      </c>
      <c r="L233">
        <v>0</v>
      </c>
      <c r="M233" t="s">
        <v>94</v>
      </c>
      <c r="N233" t="s">
        <v>95</v>
      </c>
      <c r="Q233">
        <v>46265</v>
      </c>
    </row>
    <row r="234" spans="1:17">
      <c r="A234" t="s">
        <v>694</v>
      </c>
      <c r="B234">
        <v>46265</v>
      </c>
      <c r="C234" t="s">
        <v>60</v>
      </c>
      <c r="D234" t="s">
        <v>683</v>
      </c>
      <c r="E234" t="s">
        <v>695</v>
      </c>
      <c r="F234" t="s">
        <v>61</v>
      </c>
      <c r="G234" t="s">
        <v>90</v>
      </c>
      <c r="H234" t="s">
        <v>679</v>
      </c>
      <c r="I234">
        <v>8999</v>
      </c>
      <c r="J234">
        <v>8999</v>
      </c>
      <c r="K234">
        <v>0</v>
      </c>
      <c r="L234">
        <v>0</v>
      </c>
      <c r="M234" t="s">
        <v>94</v>
      </c>
      <c r="N234" t="s">
        <v>95</v>
      </c>
      <c r="Q234">
        <v>46265</v>
      </c>
    </row>
    <row r="235" spans="1:17">
      <c r="A235" t="s">
        <v>696</v>
      </c>
      <c r="B235">
        <v>46265</v>
      </c>
      <c r="C235" t="s">
        <v>60</v>
      </c>
      <c r="D235" t="s">
        <v>697</v>
      </c>
      <c r="E235" t="s">
        <v>698</v>
      </c>
      <c r="F235" t="s">
        <v>61</v>
      </c>
      <c r="G235" t="s">
        <v>90</v>
      </c>
      <c r="H235" t="s">
        <v>679</v>
      </c>
      <c r="I235">
        <v>5999</v>
      </c>
      <c r="J235">
        <v>5999</v>
      </c>
      <c r="K235">
        <v>0</v>
      </c>
      <c r="L235">
        <v>0</v>
      </c>
      <c r="M235" t="s">
        <v>94</v>
      </c>
      <c r="N235" t="s">
        <v>95</v>
      </c>
      <c r="Q235">
        <v>46265</v>
      </c>
    </row>
    <row r="236" spans="1:17">
      <c r="A236" t="s">
        <v>699</v>
      </c>
      <c r="B236">
        <v>46265</v>
      </c>
      <c r="C236" t="s">
        <v>60</v>
      </c>
      <c r="D236" t="s">
        <v>677</v>
      </c>
      <c r="E236" t="s">
        <v>700</v>
      </c>
      <c r="F236" t="s">
        <v>61</v>
      </c>
      <c r="G236" t="s">
        <v>90</v>
      </c>
      <c r="H236" t="s">
        <v>679</v>
      </c>
      <c r="I236">
        <v>12399</v>
      </c>
      <c r="J236">
        <v>12399</v>
      </c>
      <c r="K236">
        <v>0</v>
      </c>
      <c r="L236">
        <v>0</v>
      </c>
      <c r="M236" t="s">
        <v>94</v>
      </c>
      <c r="N236" t="s">
        <v>95</v>
      </c>
      <c r="Q236">
        <v>46265</v>
      </c>
    </row>
    <row r="237" spans="1:17">
      <c r="A237" t="s">
        <v>701</v>
      </c>
      <c r="B237">
        <v>46265</v>
      </c>
      <c r="C237" t="s">
        <v>60</v>
      </c>
      <c r="D237" t="s">
        <v>677</v>
      </c>
      <c r="E237" t="s">
        <v>702</v>
      </c>
      <c r="F237" t="s">
        <v>61</v>
      </c>
      <c r="G237" t="s">
        <v>90</v>
      </c>
      <c r="H237" t="s">
        <v>679</v>
      </c>
      <c r="I237">
        <v>10799</v>
      </c>
      <c r="J237">
        <v>10799</v>
      </c>
      <c r="K237">
        <v>0</v>
      </c>
      <c r="L237">
        <v>0</v>
      </c>
      <c r="M237" t="s">
        <v>94</v>
      </c>
      <c r="N237" t="s">
        <v>95</v>
      </c>
      <c r="Q237">
        <v>46265</v>
      </c>
    </row>
    <row r="238" spans="1:17">
      <c r="A238" t="s">
        <v>703</v>
      </c>
      <c r="B238">
        <v>46265</v>
      </c>
      <c r="C238" t="s">
        <v>60</v>
      </c>
      <c r="D238" t="s">
        <v>683</v>
      </c>
      <c r="E238" t="s">
        <v>704</v>
      </c>
      <c r="F238" t="s">
        <v>61</v>
      </c>
      <c r="G238" t="s">
        <v>90</v>
      </c>
      <c r="H238" t="s">
        <v>679</v>
      </c>
      <c r="I238">
        <v>10499</v>
      </c>
      <c r="J238">
        <v>10499</v>
      </c>
      <c r="K238">
        <v>0</v>
      </c>
      <c r="L238">
        <v>0</v>
      </c>
      <c r="M238" t="s">
        <v>94</v>
      </c>
      <c r="N238" t="s">
        <v>95</v>
      </c>
      <c r="Q238">
        <v>46265</v>
      </c>
    </row>
    <row r="239" spans="1:17">
      <c r="A239" t="s">
        <v>705</v>
      </c>
      <c r="B239">
        <v>46265</v>
      </c>
      <c r="C239" t="s">
        <v>60</v>
      </c>
      <c r="D239" t="s">
        <v>683</v>
      </c>
      <c r="E239" t="s">
        <v>706</v>
      </c>
      <c r="F239" t="s">
        <v>61</v>
      </c>
      <c r="G239" t="s">
        <v>90</v>
      </c>
      <c r="H239" t="s">
        <v>679</v>
      </c>
      <c r="I239">
        <v>7699</v>
      </c>
      <c r="J239">
        <v>7699</v>
      </c>
      <c r="K239">
        <v>0</v>
      </c>
      <c r="L239">
        <v>0</v>
      </c>
      <c r="M239" t="s">
        <v>94</v>
      </c>
      <c r="N239" t="s">
        <v>95</v>
      </c>
      <c r="Q239">
        <v>46265</v>
      </c>
    </row>
    <row r="240" spans="1:17">
      <c r="A240" t="s">
        <v>707</v>
      </c>
      <c r="B240">
        <v>46265</v>
      </c>
      <c r="C240" t="s">
        <v>60</v>
      </c>
      <c r="D240" t="s">
        <v>708</v>
      </c>
      <c r="E240" t="s">
        <v>709</v>
      </c>
      <c r="F240" t="s">
        <v>61</v>
      </c>
      <c r="G240" t="s">
        <v>90</v>
      </c>
      <c r="H240" t="s">
        <v>679</v>
      </c>
      <c r="I240">
        <v>9899</v>
      </c>
      <c r="J240">
        <v>9899</v>
      </c>
      <c r="K240">
        <v>0</v>
      </c>
      <c r="L240">
        <v>0</v>
      </c>
      <c r="M240" t="s">
        <v>94</v>
      </c>
      <c r="N240" t="s">
        <v>95</v>
      </c>
      <c r="Q240">
        <v>46265</v>
      </c>
    </row>
    <row r="241" spans="1:17">
      <c r="A241" t="s">
        <v>710</v>
      </c>
      <c r="B241">
        <v>46265</v>
      </c>
      <c r="C241" t="s">
        <v>60</v>
      </c>
      <c r="D241" t="s">
        <v>711</v>
      </c>
      <c r="E241" t="s">
        <v>712</v>
      </c>
      <c r="F241" t="s">
        <v>61</v>
      </c>
      <c r="G241" t="s">
        <v>90</v>
      </c>
      <c r="H241" t="s">
        <v>679</v>
      </c>
      <c r="I241">
        <v>7699</v>
      </c>
      <c r="J241">
        <v>7699</v>
      </c>
      <c r="K241">
        <v>0</v>
      </c>
      <c r="L241">
        <v>0</v>
      </c>
      <c r="M241" t="s">
        <v>94</v>
      </c>
      <c r="N241" t="s">
        <v>95</v>
      </c>
      <c r="Q241">
        <v>46265</v>
      </c>
    </row>
    <row r="242" spans="1:17">
      <c r="A242" t="s">
        <v>713</v>
      </c>
      <c r="B242">
        <v>46265</v>
      </c>
      <c r="C242" t="s">
        <v>60</v>
      </c>
      <c r="D242" t="s">
        <v>714</v>
      </c>
      <c r="E242" t="s">
        <v>715</v>
      </c>
      <c r="F242" t="s">
        <v>61</v>
      </c>
      <c r="G242" t="s">
        <v>90</v>
      </c>
      <c r="H242" t="s">
        <v>679</v>
      </c>
      <c r="I242">
        <v>7999</v>
      </c>
      <c r="J242">
        <v>7999</v>
      </c>
      <c r="K242">
        <v>0</v>
      </c>
      <c r="L242">
        <v>0</v>
      </c>
      <c r="M242" t="s">
        <v>94</v>
      </c>
      <c r="N242" t="s">
        <v>95</v>
      </c>
      <c r="Q242">
        <v>46265</v>
      </c>
    </row>
    <row r="243" spans="1:17">
      <c r="A243" t="s">
        <v>716</v>
      </c>
      <c r="B243">
        <v>46265</v>
      </c>
      <c r="C243" t="s">
        <v>60</v>
      </c>
      <c r="D243" t="s">
        <v>717</v>
      </c>
      <c r="E243" t="s">
        <v>718</v>
      </c>
      <c r="F243" t="s">
        <v>61</v>
      </c>
      <c r="G243" t="s">
        <v>90</v>
      </c>
      <c r="H243" t="s">
        <v>679</v>
      </c>
      <c r="I243">
        <v>6999</v>
      </c>
      <c r="J243">
        <v>6999</v>
      </c>
      <c r="K243">
        <v>0</v>
      </c>
      <c r="L243">
        <v>0</v>
      </c>
      <c r="M243" t="s">
        <v>94</v>
      </c>
      <c r="N243" t="s">
        <v>95</v>
      </c>
      <c r="Q243">
        <v>46265</v>
      </c>
    </row>
    <row r="244" spans="1:17">
      <c r="A244" t="s">
        <v>719</v>
      </c>
      <c r="B244">
        <v>46265</v>
      </c>
      <c r="C244" t="s">
        <v>60</v>
      </c>
      <c r="D244" t="s">
        <v>677</v>
      </c>
      <c r="E244" t="s">
        <v>720</v>
      </c>
      <c r="F244" t="s">
        <v>61</v>
      </c>
      <c r="G244" t="s">
        <v>90</v>
      </c>
      <c r="H244" t="s">
        <v>679</v>
      </c>
      <c r="I244">
        <v>14499</v>
      </c>
      <c r="J244">
        <v>14499</v>
      </c>
      <c r="K244">
        <v>0</v>
      </c>
      <c r="L244">
        <v>0</v>
      </c>
      <c r="M244" t="s">
        <v>94</v>
      </c>
      <c r="N244" t="s">
        <v>95</v>
      </c>
      <c r="Q244">
        <v>46265</v>
      </c>
    </row>
    <row r="245" spans="1:17">
      <c r="A245" t="s">
        <v>721</v>
      </c>
      <c r="B245">
        <v>46265</v>
      </c>
      <c r="C245" t="s">
        <v>60</v>
      </c>
      <c r="D245" t="s">
        <v>722</v>
      </c>
      <c r="E245" t="s">
        <v>723</v>
      </c>
      <c r="F245" t="s">
        <v>61</v>
      </c>
      <c r="G245" t="s">
        <v>90</v>
      </c>
      <c r="H245" t="s">
        <v>679</v>
      </c>
      <c r="I245">
        <v>5499</v>
      </c>
      <c r="J245">
        <v>5499</v>
      </c>
      <c r="K245">
        <v>0</v>
      </c>
      <c r="L245">
        <v>0</v>
      </c>
      <c r="M245" t="s">
        <v>94</v>
      </c>
      <c r="N245" t="s">
        <v>95</v>
      </c>
      <c r="Q245">
        <v>46265</v>
      </c>
    </row>
    <row r="246" spans="1:17">
      <c r="A246" t="s">
        <v>724</v>
      </c>
      <c r="B246">
        <v>46265</v>
      </c>
      <c r="C246" t="s">
        <v>60</v>
      </c>
      <c r="D246" t="s">
        <v>725</v>
      </c>
      <c r="E246" t="s">
        <v>726</v>
      </c>
      <c r="F246" t="s">
        <v>61</v>
      </c>
      <c r="G246" t="s">
        <v>727</v>
      </c>
      <c r="H246" t="s">
        <v>679</v>
      </c>
      <c r="I246">
        <v>5499</v>
      </c>
      <c r="J246">
        <v>5499</v>
      </c>
      <c r="K246">
        <v>0</v>
      </c>
      <c r="L246">
        <v>0</v>
      </c>
      <c r="M246" t="s">
        <v>94</v>
      </c>
      <c r="N246" t="s">
        <v>95</v>
      </c>
      <c r="Q246">
        <v>46265</v>
      </c>
    </row>
    <row r="247" spans="1:17">
      <c r="A247" t="s">
        <v>728</v>
      </c>
      <c r="B247">
        <v>46265</v>
      </c>
      <c r="C247" t="s">
        <v>60</v>
      </c>
      <c r="D247" t="s">
        <v>683</v>
      </c>
      <c r="E247" t="s">
        <v>729</v>
      </c>
      <c r="F247" t="s">
        <v>61</v>
      </c>
      <c r="G247" t="s">
        <v>90</v>
      </c>
      <c r="H247" t="s">
        <v>679</v>
      </c>
      <c r="I247">
        <v>5499</v>
      </c>
      <c r="J247">
        <v>5499</v>
      </c>
      <c r="K247">
        <v>0</v>
      </c>
      <c r="L247">
        <v>0</v>
      </c>
      <c r="M247" t="s">
        <v>94</v>
      </c>
      <c r="N247" t="s">
        <v>95</v>
      </c>
      <c r="Q247">
        <v>46265</v>
      </c>
    </row>
    <row r="248" spans="1:17">
      <c r="A248" t="s">
        <v>730</v>
      </c>
      <c r="B248">
        <v>46265</v>
      </c>
      <c r="C248" t="s">
        <v>60</v>
      </c>
      <c r="D248" t="s">
        <v>731</v>
      </c>
      <c r="E248" t="s">
        <v>732</v>
      </c>
      <c r="F248" t="s">
        <v>61</v>
      </c>
      <c r="G248" t="s">
        <v>90</v>
      </c>
      <c r="H248" t="s">
        <v>679</v>
      </c>
      <c r="I248">
        <v>12999</v>
      </c>
      <c r="J248">
        <v>12999</v>
      </c>
      <c r="K248">
        <v>0</v>
      </c>
      <c r="L248">
        <v>0</v>
      </c>
      <c r="M248" t="s">
        <v>94</v>
      </c>
      <c r="N248" t="s">
        <v>95</v>
      </c>
      <c r="Q248">
        <v>46265</v>
      </c>
    </row>
    <row r="249" spans="1:17">
      <c r="A249" t="s">
        <v>733</v>
      </c>
      <c r="B249">
        <v>46265</v>
      </c>
      <c r="C249" t="s">
        <v>60</v>
      </c>
      <c r="D249" t="s">
        <v>734</v>
      </c>
      <c r="E249" t="s">
        <v>735</v>
      </c>
      <c r="F249" t="s">
        <v>61</v>
      </c>
      <c r="G249" t="s">
        <v>90</v>
      </c>
      <c r="H249" t="s">
        <v>679</v>
      </c>
      <c r="I249">
        <v>19899</v>
      </c>
      <c r="J249">
        <v>19899</v>
      </c>
      <c r="K249">
        <v>0</v>
      </c>
      <c r="L249">
        <v>0</v>
      </c>
      <c r="M249" t="s">
        <v>94</v>
      </c>
      <c r="N249" t="s">
        <v>95</v>
      </c>
      <c r="Q249">
        <v>46265</v>
      </c>
    </row>
    <row r="250" spans="1:17">
      <c r="A250" t="s">
        <v>736</v>
      </c>
      <c r="B250">
        <v>46265</v>
      </c>
      <c r="C250" t="s">
        <v>60</v>
      </c>
      <c r="D250" t="s">
        <v>737</v>
      </c>
      <c r="E250" t="s">
        <v>738</v>
      </c>
      <c r="F250" t="s">
        <v>61</v>
      </c>
      <c r="G250" t="s">
        <v>90</v>
      </c>
      <c r="H250" t="s">
        <v>679</v>
      </c>
      <c r="I250">
        <v>12999</v>
      </c>
      <c r="J250">
        <v>12999</v>
      </c>
      <c r="K250">
        <v>0</v>
      </c>
      <c r="L250">
        <v>0</v>
      </c>
      <c r="M250" t="s">
        <v>94</v>
      </c>
      <c r="N250" t="s">
        <v>95</v>
      </c>
      <c r="Q250">
        <v>46265</v>
      </c>
    </row>
    <row r="251" spans="1:17">
      <c r="A251" t="s">
        <v>739</v>
      </c>
      <c r="B251">
        <v>46265</v>
      </c>
      <c r="C251" t="s">
        <v>60</v>
      </c>
      <c r="D251" t="s">
        <v>740</v>
      </c>
      <c r="E251" t="s">
        <v>741</v>
      </c>
      <c r="F251" t="s">
        <v>61</v>
      </c>
      <c r="G251" t="s">
        <v>727</v>
      </c>
      <c r="H251" t="s">
        <v>679</v>
      </c>
      <c r="I251">
        <v>12999</v>
      </c>
      <c r="J251">
        <v>12999</v>
      </c>
      <c r="K251">
        <v>0</v>
      </c>
      <c r="L251">
        <v>0</v>
      </c>
      <c r="M251" t="s">
        <v>94</v>
      </c>
      <c r="N251" t="s">
        <v>95</v>
      </c>
      <c r="Q251">
        <v>46265</v>
      </c>
    </row>
    <row r="252" spans="1:17">
      <c r="A252" t="s">
        <v>742</v>
      </c>
      <c r="B252">
        <v>46265</v>
      </c>
      <c r="C252" t="s">
        <v>60</v>
      </c>
      <c r="D252" t="s">
        <v>743</v>
      </c>
      <c r="E252" t="s">
        <v>744</v>
      </c>
      <c r="F252" t="s">
        <v>63</v>
      </c>
      <c r="G252" t="s">
        <v>727</v>
      </c>
      <c r="H252" t="s">
        <v>63</v>
      </c>
      <c r="I252">
        <v>136499</v>
      </c>
      <c r="J252">
        <v>136499</v>
      </c>
      <c r="K252">
        <v>0</v>
      </c>
      <c r="L252">
        <v>0</v>
      </c>
      <c r="M252" t="s">
        <v>94</v>
      </c>
      <c r="N252" t="s">
        <v>95</v>
      </c>
      <c r="Q252">
        <v>46265</v>
      </c>
    </row>
    <row r="253" spans="1:17">
      <c r="A253" t="s">
        <v>745</v>
      </c>
      <c r="B253">
        <v>46265</v>
      </c>
      <c r="C253" t="s">
        <v>60</v>
      </c>
      <c r="D253" t="s">
        <v>746</v>
      </c>
      <c r="E253" t="s">
        <v>747</v>
      </c>
      <c r="F253" t="s">
        <v>63</v>
      </c>
      <c r="G253" t="s">
        <v>90</v>
      </c>
      <c r="H253" t="s">
        <v>63</v>
      </c>
      <c r="I253">
        <v>47999</v>
      </c>
      <c r="J253">
        <v>33599</v>
      </c>
      <c r="K253">
        <v>14400</v>
      </c>
      <c r="L253">
        <v>30</v>
      </c>
      <c r="M253" t="s">
        <v>94</v>
      </c>
      <c r="N253" t="s">
        <v>95</v>
      </c>
      <c r="Q253">
        <v>46265</v>
      </c>
    </row>
    <row r="254" spans="1:17">
      <c r="A254" t="s">
        <v>748</v>
      </c>
      <c r="B254">
        <v>46265</v>
      </c>
      <c r="C254" t="s">
        <v>60</v>
      </c>
      <c r="D254" t="s">
        <v>749</v>
      </c>
      <c r="E254" t="s">
        <v>750</v>
      </c>
      <c r="F254" t="s">
        <v>63</v>
      </c>
      <c r="G254" t="s">
        <v>90</v>
      </c>
      <c r="H254" t="s">
        <v>63</v>
      </c>
      <c r="I254">
        <v>117599</v>
      </c>
      <c r="J254">
        <v>117599</v>
      </c>
      <c r="K254">
        <v>0</v>
      </c>
      <c r="L254">
        <v>0</v>
      </c>
      <c r="M254" t="s">
        <v>94</v>
      </c>
      <c r="N254" t="s">
        <v>95</v>
      </c>
      <c r="Q254">
        <v>46265</v>
      </c>
    </row>
    <row r="255" spans="1:17">
      <c r="A255" t="s">
        <v>751</v>
      </c>
      <c r="B255">
        <v>46265</v>
      </c>
      <c r="C255" t="s">
        <v>60</v>
      </c>
      <c r="D255" t="s">
        <v>752</v>
      </c>
      <c r="E255" t="s">
        <v>753</v>
      </c>
      <c r="F255" t="s">
        <v>63</v>
      </c>
      <c r="G255" t="s">
        <v>90</v>
      </c>
      <c r="H255" t="s">
        <v>63</v>
      </c>
      <c r="I255">
        <v>168599</v>
      </c>
      <c r="J255">
        <v>168599</v>
      </c>
      <c r="K255">
        <v>0</v>
      </c>
      <c r="L255">
        <v>0</v>
      </c>
      <c r="M255" t="s">
        <v>94</v>
      </c>
      <c r="N255" t="s">
        <v>95</v>
      </c>
      <c r="Q255">
        <v>46265</v>
      </c>
    </row>
    <row r="256" spans="1:17">
      <c r="A256" t="s">
        <v>754</v>
      </c>
      <c r="B256">
        <v>46265</v>
      </c>
      <c r="C256" t="s">
        <v>60</v>
      </c>
      <c r="D256" t="s">
        <v>752</v>
      </c>
      <c r="E256" t="s">
        <v>755</v>
      </c>
      <c r="F256" t="s">
        <v>63</v>
      </c>
      <c r="G256" t="s">
        <v>90</v>
      </c>
      <c r="H256" t="s">
        <v>63</v>
      </c>
      <c r="I256">
        <v>33999</v>
      </c>
      <c r="J256">
        <v>27199</v>
      </c>
      <c r="K256">
        <v>6800</v>
      </c>
      <c r="L256">
        <v>20</v>
      </c>
      <c r="M256" t="s">
        <v>94</v>
      </c>
      <c r="N256" t="s">
        <v>95</v>
      </c>
      <c r="Q256">
        <v>46265</v>
      </c>
    </row>
    <row r="257" spans="1:17">
      <c r="A257" t="s">
        <v>756</v>
      </c>
      <c r="B257">
        <v>46265</v>
      </c>
      <c r="C257" t="s">
        <v>60</v>
      </c>
      <c r="D257" t="s">
        <v>752</v>
      </c>
      <c r="E257" t="s">
        <v>757</v>
      </c>
      <c r="F257" t="s">
        <v>63</v>
      </c>
      <c r="G257" t="s">
        <v>90</v>
      </c>
      <c r="H257" t="s">
        <v>63</v>
      </c>
      <c r="I257">
        <v>52499</v>
      </c>
      <c r="J257">
        <v>36749</v>
      </c>
      <c r="K257">
        <v>15750</v>
      </c>
      <c r="L257">
        <v>30</v>
      </c>
      <c r="M257" t="s">
        <v>94</v>
      </c>
      <c r="N257" t="s">
        <v>95</v>
      </c>
      <c r="Q257">
        <v>46265</v>
      </c>
    </row>
    <row r="258" spans="1:17">
      <c r="A258" t="s">
        <v>758</v>
      </c>
      <c r="B258">
        <v>46265</v>
      </c>
      <c r="C258" t="s">
        <v>60</v>
      </c>
      <c r="D258" t="s">
        <v>759</v>
      </c>
      <c r="E258" t="s">
        <v>760</v>
      </c>
      <c r="F258" t="s">
        <v>63</v>
      </c>
      <c r="G258" t="s">
        <v>90</v>
      </c>
      <c r="H258" t="s">
        <v>63</v>
      </c>
      <c r="I258">
        <v>9999</v>
      </c>
      <c r="J258">
        <v>5000</v>
      </c>
      <c r="K258">
        <v>4999</v>
      </c>
      <c r="L258">
        <v>49.99</v>
      </c>
      <c r="M258" t="s">
        <v>94</v>
      </c>
      <c r="N258" t="s">
        <v>95</v>
      </c>
      <c r="Q258">
        <v>46265</v>
      </c>
    </row>
    <row r="259" spans="1:17">
      <c r="A259" t="s">
        <v>761</v>
      </c>
      <c r="B259">
        <v>46265</v>
      </c>
      <c r="C259" t="s">
        <v>60</v>
      </c>
      <c r="D259" t="s">
        <v>762</v>
      </c>
      <c r="E259" t="s">
        <v>763</v>
      </c>
      <c r="F259" t="s">
        <v>63</v>
      </c>
      <c r="G259" t="s">
        <v>90</v>
      </c>
      <c r="H259" t="s">
        <v>63</v>
      </c>
      <c r="I259">
        <v>33799</v>
      </c>
      <c r="J259">
        <v>16900</v>
      </c>
      <c r="K259">
        <v>16899</v>
      </c>
      <c r="L259">
        <v>50</v>
      </c>
      <c r="M259" t="s">
        <v>94</v>
      </c>
      <c r="N259" t="s">
        <v>95</v>
      </c>
      <c r="Q259">
        <v>46265</v>
      </c>
    </row>
    <row r="260" spans="1:17">
      <c r="A260" t="s">
        <v>764</v>
      </c>
      <c r="B260">
        <v>46265</v>
      </c>
      <c r="C260" t="s">
        <v>60</v>
      </c>
      <c r="D260" t="s">
        <v>765</v>
      </c>
      <c r="E260" t="s">
        <v>766</v>
      </c>
      <c r="F260" t="s">
        <v>63</v>
      </c>
      <c r="G260" t="s">
        <v>90</v>
      </c>
      <c r="H260" t="s">
        <v>63</v>
      </c>
      <c r="I260">
        <v>10799</v>
      </c>
      <c r="J260">
        <v>4320</v>
      </c>
      <c r="K260">
        <v>6479</v>
      </c>
      <c r="L260">
        <v>60</v>
      </c>
      <c r="M260" t="s">
        <v>94</v>
      </c>
      <c r="N260" t="s">
        <v>95</v>
      </c>
      <c r="Q260">
        <v>46265</v>
      </c>
    </row>
    <row r="261" spans="1:17">
      <c r="A261" t="s">
        <v>767</v>
      </c>
      <c r="B261">
        <v>46265</v>
      </c>
      <c r="C261" t="s">
        <v>60</v>
      </c>
      <c r="D261" t="s">
        <v>768</v>
      </c>
      <c r="E261" t="s">
        <v>769</v>
      </c>
      <c r="F261" t="s">
        <v>63</v>
      </c>
      <c r="G261" t="s">
        <v>90</v>
      </c>
      <c r="H261" t="s">
        <v>63</v>
      </c>
      <c r="I261">
        <v>31299</v>
      </c>
      <c r="J261">
        <v>15650</v>
      </c>
      <c r="K261">
        <v>15649</v>
      </c>
      <c r="L261">
        <v>50</v>
      </c>
      <c r="M261" t="s">
        <v>94</v>
      </c>
      <c r="N261" t="s">
        <v>95</v>
      </c>
      <c r="Q261">
        <v>46265</v>
      </c>
    </row>
    <row r="262" spans="1:17">
      <c r="A262" t="s">
        <v>770</v>
      </c>
      <c r="B262">
        <v>46265</v>
      </c>
      <c r="C262" t="s">
        <v>60</v>
      </c>
      <c r="D262" t="s">
        <v>771</v>
      </c>
      <c r="E262" t="s">
        <v>772</v>
      </c>
      <c r="F262" t="s">
        <v>63</v>
      </c>
      <c r="G262" t="s">
        <v>90</v>
      </c>
      <c r="H262" t="s">
        <v>63</v>
      </c>
      <c r="I262">
        <v>25299</v>
      </c>
      <c r="J262">
        <v>10120</v>
      </c>
      <c r="K262">
        <v>15179</v>
      </c>
      <c r="L262">
        <v>60</v>
      </c>
      <c r="M262" t="s">
        <v>94</v>
      </c>
      <c r="N262" t="s">
        <v>95</v>
      </c>
      <c r="Q262">
        <v>46265</v>
      </c>
    </row>
    <row r="263" spans="1:17">
      <c r="A263" t="s">
        <v>773</v>
      </c>
      <c r="B263">
        <v>46265</v>
      </c>
      <c r="C263" t="s">
        <v>60</v>
      </c>
      <c r="D263" t="s">
        <v>774</v>
      </c>
      <c r="E263" t="s">
        <v>775</v>
      </c>
      <c r="F263" t="s">
        <v>63</v>
      </c>
      <c r="G263" t="s">
        <v>90</v>
      </c>
      <c r="H263" t="s">
        <v>63</v>
      </c>
      <c r="I263">
        <v>10399</v>
      </c>
      <c r="J263">
        <v>5200</v>
      </c>
      <c r="K263">
        <v>5199</v>
      </c>
      <c r="L263">
        <v>50</v>
      </c>
      <c r="M263" t="s">
        <v>94</v>
      </c>
      <c r="N263" t="s">
        <v>95</v>
      </c>
      <c r="Q263">
        <v>46265</v>
      </c>
    </row>
    <row r="264" spans="1:17">
      <c r="A264" t="s">
        <v>776</v>
      </c>
      <c r="B264">
        <v>46265</v>
      </c>
      <c r="C264" t="s">
        <v>60</v>
      </c>
      <c r="D264" t="s">
        <v>777</v>
      </c>
      <c r="E264" t="s">
        <v>778</v>
      </c>
      <c r="F264" t="s">
        <v>63</v>
      </c>
      <c r="G264" t="s">
        <v>90</v>
      </c>
      <c r="H264" t="s">
        <v>63</v>
      </c>
      <c r="I264">
        <v>29499</v>
      </c>
      <c r="J264">
        <v>14750</v>
      </c>
      <c r="K264">
        <v>14749</v>
      </c>
      <c r="L264">
        <v>50</v>
      </c>
      <c r="M264" t="s">
        <v>94</v>
      </c>
      <c r="N264" t="s">
        <v>95</v>
      </c>
      <c r="Q264">
        <v>46265</v>
      </c>
    </row>
    <row r="265" spans="1:17">
      <c r="A265" t="s">
        <v>779</v>
      </c>
      <c r="B265">
        <v>46265</v>
      </c>
      <c r="C265" t="s">
        <v>60</v>
      </c>
      <c r="D265" t="s">
        <v>780</v>
      </c>
      <c r="E265" t="s">
        <v>781</v>
      </c>
      <c r="F265" t="s">
        <v>63</v>
      </c>
      <c r="G265" t="s">
        <v>90</v>
      </c>
      <c r="H265" t="s">
        <v>63</v>
      </c>
      <c r="I265">
        <v>90299</v>
      </c>
      <c r="J265">
        <v>90299</v>
      </c>
      <c r="K265">
        <v>0</v>
      </c>
      <c r="L265">
        <v>0</v>
      </c>
      <c r="M265" t="s">
        <v>94</v>
      </c>
      <c r="N265" t="s">
        <v>95</v>
      </c>
      <c r="Q265">
        <v>46265</v>
      </c>
    </row>
    <row r="266" spans="1:17">
      <c r="A266" t="s">
        <v>782</v>
      </c>
      <c r="B266">
        <v>46265</v>
      </c>
      <c r="C266" t="s">
        <v>60</v>
      </c>
      <c r="D266" t="s">
        <v>783</v>
      </c>
      <c r="E266" t="s">
        <v>784</v>
      </c>
      <c r="F266" t="s">
        <v>63</v>
      </c>
      <c r="G266" t="s">
        <v>90</v>
      </c>
      <c r="H266" t="s">
        <v>63</v>
      </c>
      <c r="I266">
        <v>81199</v>
      </c>
      <c r="J266">
        <v>32480</v>
      </c>
      <c r="K266">
        <v>48719</v>
      </c>
      <c r="L266">
        <v>60</v>
      </c>
      <c r="M266" t="s">
        <v>94</v>
      </c>
      <c r="N266" t="s">
        <v>95</v>
      </c>
      <c r="Q266">
        <v>46265</v>
      </c>
    </row>
    <row r="267" spans="1:17">
      <c r="A267" t="s">
        <v>785</v>
      </c>
      <c r="B267">
        <v>46265</v>
      </c>
      <c r="C267" t="s">
        <v>60</v>
      </c>
      <c r="D267" t="s">
        <v>786</v>
      </c>
      <c r="E267" t="s">
        <v>787</v>
      </c>
      <c r="F267" t="s">
        <v>63</v>
      </c>
      <c r="G267" t="s">
        <v>90</v>
      </c>
      <c r="H267" t="s">
        <v>63</v>
      </c>
      <c r="I267">
        <v>11999</v>
      </c>
      <c r="J267">
        <v>4800</v>
      </c>
      <c r="K267">
        <v>7199</v>
      </c>
      <c r="L267">
        <v>60</v>
      </c>
      <c r="M267" t="s">
        <v>94</v>
      </c>
      <c r="N267" t="s">
        <v>95</v>
      </c>
      <c r="Q267">
        <v>46265</v>
      </c>
    </row>
    <row r="268" spans="1:17">
      <c r="A268" t="s">
        <v>788</v>
      </c>
      <c r="B268">
        <v>46265</v>
      </c>
      <c r="C268" t="s">
        <v>60</v>
      </c>
      <c r="D268" t="s">
        <v>789</v>
      </c>
      <c r="E268" t="s">
        <v>790</v>
      </c>
      <c r="F268" t="s">
        <v>63</v>
      </c>
      <c r="G268" t="s">
        <v>90</v>
      </c>
      <c r="H268" t="s">
        <v>63</v>
      </c>
      <c r="I268">
        <v>109399</v>
      </c>
      <c r="J268">
        <v>109399</v>
      </c>
      <c r="K268">
        <v>0</v>
      </c>
      <c r="L268">
        <v>0</v>
      </c>
      <c r="M268" t="s">
        <v>94</v>
      </c>
      <c r="N268" t="s">
        <v>95</v>
      </c>
      <c r="Q268">
        <v>46265</v>
      </c>
    </row>
    <row r="269" spans="1:17">
      <c r="A269" t="s">
        <v>791</v>
      </c>
      <c r="B269">
        <v>46265</v>
      </c>
      <c r="C269" t="s">
        <v>60</v>
      </c>
      <c r="D269" t="s">
        <v>792</v>
      </c>
      <c r="E269" t="s">
        <v>793</v>
      </c>
      <c r="F269" t="s">
        <v>63</v>
      </c>
      <c r="G269" t="s">
        <v>90</v>
      </c>
      <c r="H269" t="s">
        <v>63</v>
      </c>
      <c r="I269">
        <v>11899</v>
      </c>
      <c r="J269">
        <v>5950</v>
      </c>
      <c r="K269">
        <v>5949</v>
      </c>
      <c r="L269">
        <v>50</v>
      </c>
      <c r="M269" t="s">
        <v>94</v>
      </c>
      <c r="N269" t="s">
        <v>95</v>
      </c>
      <c r="Q269">
        <v>46265</v>
      </c>
    </row>
    <row r="270" spans="1:17">
      <c r="A270" t="s">
        <v>794</v>
      </c>
      <c r="B270">
        <v>46265</v>
      </c>
      <c r="C270" t="s">
        <v>60</v>
      </c>
      <c r="D270" t="s">
        <v>795</v>
      </c>
      <c r="E270" t="s">
        <v>796</v>
      </c>
      <c r="F270" t="s">
        <v>63</v>
      </c>
      <c r="G270" t="s">
        <v>90</v>
      </c>
      <c r="H270" t="s">
        <v>63</v>
      </c>
      <c r="I270">
        <v>11299</v>
      </c>
      <c r="J270">
        <v>4520</v>
      </c>
      <c r="K270">
        <v>6779</v>
      </c>
      <c r="L270">
        <v>60</v>
      </c>
      <c r="M270" t="s">
        <v>94</v>
      </c>
      <c r="N270" t="s">
        <v>95</v>
      </c>
      <c r="Q270">
        <v>46265</v>
      </c>
    </row>
    <row r="271" spans="1:17">
      <c r="A271" t="s">
        <v>797</v>
      </c>
      <c r="B271">
        <v>46265</v>
      </c>
      <c r="C271" t="s">
        <v>60</v>
      </c>
      <c r="D271" t="s">
        <v>798</v>
      </c>
      <c r="E271" t="s">
        <v>799</v>
      </c>
      <c r="F271" t="s">
        <v>63</v>
      </c>
      <c r="G271" t="s">
        <v>90</v>
      </c>
      <c r="H271" t="s">
        <v>63</v>
      </c>
      <c r="I271">
        <v>66470</v>
      </c>
      <c r="J271">
        <v>26588</v>
      </c>
      <c r="K271">
        <v>39882</v>
      </c>
      <c r="L271">
        <v>60</v>
      </c>
      <c r="M271" t="s">
        <v>94</v>
      </c>
      <c r="N271" t="s">
        <v>95</v>
      </c>
      <c r="Q271">
        <v>46265</v>
      </c>
    </row>
    <row r="272" spans="1:17">
      <c r="A272" t="s">
        <v>800</v>
      </c>
      <c r="B272">
        <v>46265</v>
      </c>
      <c r="C272" t="s">
        <v>60</v>
      </c>
      <c r="D272" t="s">
        <v>801</v>
      </c>
      <c r="E272" t="s">
        <v>802</v>
      </c>
      <c r="F272" t="s">
        <v>63</v>
      </c>
      <c r="G272" t="s">
        <v>90</v>
      </c>
      <c r="H272" t="s">
        <v>63</v>
      </c>
      <c r="I272">
        <v>30499</v>
      </c>
      <c r="J272">
        <v>30499</v>
      </c>
      <c r="K272">
        <v>0</v>
      </c>
      <c r="L272">
        <v>0</v>
      </c>
      <c r="M272" t="s">
        <v>94</v>
      </c>
      <c r="N272" t="s">
        <v>95</v>
      </c>
      <c r="Q272">
        <v>46265</v>
      </c>
    </row>
    <row r="273" spans="1:17">
      <c r="A273" t="s">
        <v>803</v>
      </c>
      <c r="B273">
        <v>46265</v>
      </c>
      <c r="C273" t="s">
        <v>60</v>
      </c>
      <c r="D273" t="s">
        <v>804</v>
      </c>
      <c r="E273" t="s">
        <v>805</v>
      </c>
      <c r="F273" t="s">
        <v>63</v>
      </c>
      <c r="G273" t="s">
        <v>90</v>
      </c>
      <c r="H273" t="s">
        <v>63</v>
      </c>
      <c r="I273">
        <v>41799</v>
      </c>
      <c r="J273">
        <v>41799</v>
      </c>
      <c r="K273">
        <v>0</v>
      </c>
      <c r="L273">
        <v>0</v>
      </c>
      <c r="M273" t="s">
        <v>94</v>
      </c>
      <c r="N273" t="s">
        <v>95</v>
      </c>
      <c r="Q273">
        <v>46265</v>
      </c>
    </row>
    <row r="274" spans="1:17">
      <c r="A274" t="s">
        <v>806</v>
      </c>
      <c r="B274">
        <v>46265</v>
      </c>
      <c r="C274" t="s">
        <v>60</v>
      </c>
      <c r="D274" t="s">
        <v>801</v>
      </c>
      <c r="E274" t="s">
        <v>807</v>
      </c>
      <c r="F274" t="s">
        <v>63</v>
      </c>
      <c r="G274" t="s">
        <v>90</v>
      </c>
      <c r="H274" t="s">
        <v>63</v>
      </c>
      <c r="I274">
        <v>30499</v>
      </c>
      <c r="J274">
        <v>30499</v>
      </c>
      <c r="K274">
        <v>0</v>
      </c>
      <c r="L274">
        <v>0</v>
      </c>
      <c r="M274" t="s">
        <v>94</v>
      </c>
      <c r="N274" t="s">
        <v>95</v>
      </c>
      <c r="Q274">
        <v>46265</v>
      </c>
    </row>
    <row r="275" spans="1:17">
      <c r="A275" t="s">
        <v>808</v>
      </c>
      <c r="B275">
        <v>46265</v>
      </c>
      <c r="C275" t="s">
        <v>60</v>
      </c>
      <c r="D275" t="s">
        <v>809</v>
      </c>
      <c r="E275" t="s">
        <v>810</v>
      </c>
      <c r="F275" t="s">
        <v>63</v>
      </c>
      <c r="G275" t="s">
        <v>90</v>
      </c>
      <c r="H275" t="s">
        <v>63</v>
      </c>
      <c r="I275">
        <v>29099</v>
      </c>
      <c r="J275">
        <v>29099</v>
      </c>
      <c r="K275">
        <v>0</v>
      </c>
      <c r="L275">
        <v>0</v>
      </c>
      <c r="M275" t="s">
        <v>94</v>
      </c>
      <c r="N275" t="s">
        <v>95</v>
      </c>
      <c r="Q275">
        <v>46265</v>
      </c>
    </row>
    <row r="276" spans="1:17">
      <c r="A276" t="s">
        <v>811</v>
      </c>
      <c r="B276">
        <v>46265</v>
      </c>
      <c r="C276" t="s">
        <v>60</v>
      </c>
      <c r="D276" t="s">
        <v>812</v>
      </c>
      <c r="E276" t="s">
        <v>813</v>
      </c>
      <c r="F276" t="s">
        <v>63</v>
      </c>
      <c r="G276" t="s">
        <v>90</v>
      </c>
      <c r="H276" t="s">
        <v>63</v>
      </c>
      <c r="I276">
        <v>28499</v>
      </c>
      <c r="J276">
        <v>28499</v>
      </c>
      <c r="K276">
        <v>0</v>
      </c>
      <c r="L276">
        <v>0</v>
      </c>
      <c r="M276" t="s">
        <v>94</v>
      </c>
      <c r="N276" t="s">
        <v>95</v>
      </c>
      <c r="Q276">
        <v>46265</v>
      </c>
    </row>
    <row r="277" spans="1:17">
      <c r="A277" t="s">
        <v>814</v>
      </c>
      <c r="B277">
        <v>46265</v>
      </c>
      <c r="C277" t="s">
        <v>60</v>
      </c>
      <c r="D277" t="s">
        <v>815</v>
      </c>
      <c r="E277" t="s">
        <v>816</v>
      </c>
      <c r="F277" t="s">
        <v>59</v>
      </c>
      <c r="G277" t="s">
        <v>90</v>
      </c>
      <c r="H277" t="s">
        <v>817</v>
      </c>
      <c r="I277">
        <v>152219</v>
      </c>
      <c r="J277">
        <v>60888</v>
      </c>
      <c r="K277">
        <v>91331</v>
      </c>
      <c r="L277">
        <v>60</v>
      </c>
      <c r="M277" t="s">
        <v>94</v>
      </c>
      <c r="N277" t="s">
        <v>95</v>
      </c>
      <c r="Q277">
        <v>46265</v>
      </c>
    </row>
    <row r="278" spans="1:17">
      <c r="A278" t="s">
        <v>818</v>
      </c>
      <c r="B278">
        <v>46265</v>
      </c>
      <c r="C278" t="s">
        <v>60</v>
      </c>
      <c r="D278" t="s">
        <v>819</v>
      </c>
      <c r="E278" t="s">
        <v>820</v>
      </c>
      <c r="F278" t="s">
        <v>59</v>
      </c>
      <c r="G278" t="s">
        <v>90</v>
      </c>
      <c r="H278" t="s">
        <v>817</v>
      </c>
      <c r="I278">
        <v>49499</v>
      </c>
      <c r="J278">
        <v>34649</v>
      </c>
      <c r="K278">
        <v>14850</v>
      </c>
      <c r="L278">
        <v>30</v>
      </c>
      <c r="M278" t="s">
        <v>94</v>
      </c>
      <c r="N278" t="s">
        <v>95</v>
      </c>
      <c r="Q278">
        <v>46265</v>
      </c>
    </row>
    <row r="279" spans="1:17">
      <c r="A279" t="s">
        <v>821</v>
      </c>
      <c r="B279">
        <v>46265</v>
      </c>
      <c r="C279" t="s">
        <v>60</v>
      </c>
      <c r="D279" t="s">
        <v>822</v>
      </c>
      <c r="E279" t="s">
        <v>823</v>
      </c>
      <c r="F279" t="s">
        <v>59</v>
      </c>
      <c r="G279" t="s">
        <v>90</v>
      </c>
      <c r="H279" t="s">
        <v>817</v>
      </c>
      <c r="I279">
        <v>64499</v>
      </c>
      <c r="J279">
        <v>32250</v>
      </c>
      <c r="K279">
        <v>32249</v>
      </c>
      <c r="L279">
        <v>50</v>
      </c>
      <c r="M279" t="s">
        <v>94</v>
      </c>
      <c r="N279" t="s">
        <v>95</v>
      </c>
      <c r="Q279">
        <v>46265</v>
      </c>
    </row>
    <row r="280" spans="1:17">
      <c r="A280" t="s">
        <v>824</v>
      </c>
      <c r="B280">
        <v>46265</v>
      </c>
      <c r="C280" t="s">
        <v>60</v>
      </c>
      <c r="D280" t="s">
        <v>825</v>
      </c>
      <c r="E280" t="s">
        <v>826</v>
      </c>
      <c r="F280" t="s">
        <v>59</v>
      </c>
      <c r="G280" t="s">
        <v>727</v>
      </c>
      <c r="H280" t="s">
        <v>817</v>
      </c>
      <c r="I280">
        <v>127499</v>
      </c>
      <c r="J280">
        <v>127499</v>
      </c>
      <c r="K280">
        <v>0</v>
      </c>
      <c r="L280">
        <v>0</v>
      </c>
      <c r="M280" t="s">
        <v>94</v>
      </c>
      <c r="N280" t="s">
        <v>95</v>
      </c>
      <c r="Q280">
        <v>46265</v>
      </c>
    </row>
    <row r="281" spans="1:17">
      <c r="A281" t="s">
        <v>827</v>
      </c>
      <c r="B281">
        <v>46265</v>
      </c>
      <c r="C281" t="s">
        <v>60</v>
      </c>
      <c r="D281" t="s">
        <v>828</v>
      </c>
      <c r="E281" t="s">
        <v>829</v>
      </c>
      <c r="F281" t="s">
        <v>59</v>
      </c>
      <c r="G281" t="s">
        <v>90</v>
      </c>
      <c r="H281" t="s">
        <v>817</v>
      </c>
      <c r="I281">
        <v>57799</v>
      </c>
      <c r="J281">
        <v>34679</v>
      </c>
      <c r="K281">
        <v>23120</v>
      </c>
      <c r="L281">
        <v>40</v>
      </c>
      <c r="M281" t="s">
        <v>94</v>
      </c>
      <c r="N281" t="s">
        <v>95</v>
      </c>
      <c r="Q281">
        <v>46265</v>
      </c>
    </row>
    <row r="282" spans="1:17">
      <c r="A282" t="s">
        <v>830</v>
      </c>
      <c r="B282">
        <v>46265</v>
      </c>
      <c r="C282" t="s">
        <v>60</v>
      </c>
      <c r="D282" t="s">
        <v>831</v>
      </c>
      <c r="E282" t="s">
        <v>832</v>
      </c>
      <c r="F282" t="s">
        <v>59</v>
      </c>
      <c r="G282" t="s">
        <v>90</v>
      </c>
      <c r="H282" t="s">
        <v>817</v>
      </c>
      <c r="I282">
        <v>59299</v>
      </c>
      <c r="J282">
        <v>25000</v>
      </c>
      <c r="K282">
        <v>34299</v>
      </c>
      <c r="L282">
        <v>57.84</v>
      </c>
      <c r="M282" t="s">
        <v>94</v>
      </c>
      <c r="N282" t="s">
        <v>95</v>
      </c>
      <c r="Q282">
        <v>46265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"/>
  <sheetViews>
    <sheetView workbookViewId="0"/>
  </sheetViews>
  <sheetFormatPr defaultRowHeight="14"/>
  <cols>
    <col min="1" max="11" width="14" customWidth="1"/>
  </cols>
  <sheetData>
    <row r="1" spans="1:11">
      <c r="A1" s="1" t="s">
        <v>833</v>
      </c>
      <c r="B1" s="1" t="s">
        <v>834</v>
      </c>
      <c r="C1" s="1" t="s">
        <v>835</v>
      </c>
      <c r="D1" s="1" t="s">
        <v>836</v>
      </c>
      <c r="E1" s="1" t="s">
        <v>837</v>
      </c>
      <c r="F1" s="1" t="s">
        <v>838</v>
      </c>
      <c r="G1" s="1" t="s">
        <v>839</v>
      </c>
      <c r="H1" s="1" t="s">
        <v>840</v>
      </c>
      <c r="I1" s="1" t="s">
        <v>841</v>
      </c>
      <c r="J1" s="1" t="s">
        <v>842</v>
      </c>
      <c r="K1" s="1" t="s">
        <v>843</v>
      </c>
    </row>
    <row r="2" spans="1:11">
      <c r="A2" t="s">
        <v>844</v>
      </c>
      <c r="B2">
        <v>46265</v>
      </c>
      <c r="C2">
        <v>33.1</v>
      </c>
      <c r="D2" t="s">
        <v>845</v>
      </c>
      <c r="E2">
        <v>0</v>
      </c>
      <c r="F2">
        <v>34</v>
      </c>
      <c r="G2">
        <v>25.9</v>
      </c>
      <c r="H2">
        <v>62</v>
      </c>
      <c r="I2">
        <v>0</v>
      </c>
      <c r="J2">
        <v>5</v>
      </c>
      <c r="K2" t="s">
        <v>846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workbookViewId="0">
      <selection activeCell="E21" sqref="E21"/>
    </sheetView>
  </sheetViews>
  <sheetFormatPr defaultRowHeight="14"/>
  <cols>
    <col min="1" max="4" width="14" customWidth="1"/>
  </cols>
  <sheetData>
    <row r="1" spans="1:4">
      <c r="A1" s="1" t="s">
        <v>847</v>
      </c>
      <c r="B1" s="1" t="s">
        <v>848</v>
      </c>
      <c r="C1" s="1" t="s">
        <v>849</v>
      </c>
      <c r="D1" s="1" t="s">
        <v>850</v>
      </c>
    </row>
    <row r="2" spans="1:4">
      <c r="A2" t="s">
        <v>851</v>
      </c>
      <c r="B2">
        <v>22.8</v>
      </c>
      <c r="C2">
        <v>8.5</v>
      </c>
      <c r="D2">
        <v>9.3000000000000007</v>
      </c>
    </row>
    <row r="3" spans="1:4">
      <c r="A3" t="s">
        <v>852</v>
      </c>
      <c r="B3">
        <v>25.5</v>
      </c>
      <c r="C3">
        <v>13.9</v>
      </c>
      <c r="D3">
        <v>103.1</v>
      </c>
    </row>
    <row r="4" spans="1:4">
      <c r="A4" t="s">
        <v>853</v>
      </c>
      <c r="B4">
        <v>28.3</v>
      </c>
      <c r="C4">
        <v>16.3</v>
      </c>
      <c r="D4">
        <v>140.1</v>
      </c>
    </row>
    <row r="5" spans="1:4">
      <c r="A5" t="s">
        <v>854</v>
      </c>
      <c r="B5">
        <v>35.4</v>
      </c>
      <c r="C5">
        <v>23</v>
      </c>
      <c r="D5">
        <v>7.6</v>
      </c>
    </row>
    <row r="6" spans="1:4">
      <c r="A6" t="s">
        <v>855</v>
      </c>
      <c r="B6">
        <v>38.4</v>
      </c>
      <c r="C6">
        <v>26.7</v>
      </c>
      <c r="D6">
        <v>7.3</v>
      </c>
    </row>
    <row r="7" spans="1:4">
      <c r="A7" t="s">
        <v>856</v>
      </c>
      <c r="B7">
        <v>36.700000000000003</v>
      </c>
      <c r="C7">
        <v>26.8</v>
      </c>
      <c r="D7">
        <v>146.69999999999999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"/>
  <sheetViews>
    <sheetView workbookViewId="0"/>
  </sheetViews>
  <sheetFormatPr defaultRowHeight="14"/>
  <cols>
    <col min="1" max="1" width="5.75" customWidth="1"/>
    <col min="2" max="2" width="7.25" customWidth="1"/>
    <col min="3" max="3" width="8.4140625" customWidth="1"/>
    <col min="4" max="4" width="11" customWidth="1"/>
    <col min="5" max="5" width="20.6640625" customWidth="1"/>
    <col min="6" max="6" width="17.9140625" customWidth="1"/>
  </cols>
  <sheetData>
    <row r="1" spans="1:6">
      <c r="A1" s="1" t="s">
        <v>857</v>
      </c>
      <c r="B1" s="1" t="s">
        <v>858</v>
      </c>
      <c r="C1" s="1" t="s">
        <v>859</v>
      </c>
      <c r="D1" s="1" t="s">
        <v>860</v>
      </c>
      <c r="E1" s="1" t="s">
        <v>861</v>
      </c>
      <c r="F1" s="1" t="s">
        <v>862</v>
      </c>
    </row>
    <row r="2" spans="1:6">
      <c r="A2">
        <v>3</v>
      </c>
      <c r="B2">
        <v>281</v>
      </c>
      <c r="C2">
        <v>5</v>
      </c>
      <c r="D2" s="4">
        <v>12990</v>
      </c>
      <c r="E2" s="5">
        <v>4.6186120996441281E-2</v>
      </c>
      <c r="F2" s="5">
        <v>0.13879003558718861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Dashboard_Calcs</vt:lpstr>
      <vt:lpstr>Processed_Data</vt:lpstr>
      <vt:lpstr>Raw_Data</vt:lpstr>
      <vt:lpstr>Weather_API</vt:lpstr>
      <vt:lpstr>Seasonal_Context</vt:lpstr>
      <vt:lpstr>SQL_Summary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Hanif</dc:creator>
  <cp:lastModifiedBy>Aqib Hanif</cp:lastModifiedBy>
  <dcterms:created xsi:type="dcterms:W3CDTF">2026-08-31T08:43:50Z</dcterms:created>
  <dcterms:modified xsi:type="dcterms:W3CDTF">2026-09-03T10:20:38Z</dcterms:modified>
</cp:coreProperties>
</file>